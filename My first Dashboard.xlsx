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Dell\Documents\"/>
    </mc:Choice>
  </mc:AlternateContent>
  <xr:revisionPtr revIDLastSave="0" documentId="13_ncr:1_{458FEACB-1636-4C7B-9097-50951E58F25B}" xr6:coauthVersionLast="47" xr6:coauthVersionMax="47" xr10:uidLastSave="{00000000-0000-0000-0000-000000000000}"/>
  <bookViews>
    <workbookView xWindow="-110" yWindow="-110" windowWidth="19420" windowHeight="10300" firstSheet="2" activeTab="2" xr2:uid="{ACC58FA5-5AED-4773-937E-43B158977D3C}"/>
  </bookViews>
  <sheets>
    <sheet name="Pivot table" sheetId="3" state="hidden" r:id="rId1"/>
    <sheet name="Transactions" sheetId="2" state="hidden" r:id="rId2"/>
    <sheet name="Dashboard" sheetId="1" r:id="rId3"/>
    <sheet name="Dashboard (2)" sheetId="5" r:id="rId4"/>
    <sheet name="Sheet3" sheetId="4" state="hidden" r:id="rId5"/>
    <sheet name="All essetial" sheetId="6" state="hidden" r:id="rId6"/>
  </sheets>
  <definedNames>
    <definedName name="ExternalData_1" localSheetId="1" hidden="1">Transactions!$A$1:$U$1003</definedName>
    <definedName name="NativeTimeline_Date">#N/A</definedName>
    <definedName name="Slicer_Category">#N/A</definedName>
    <definedName name="Slicer_Channel">#N/A</definedName>
    <definedName name="Slicer_Region">#N/A</definedName>
  </definedNames>
  <calcPr calcId="191029"/>
  <pivotCaches>
    <pivotCache cacheId="1"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S8" i="4" l="1"/>
  <c r="S7" i="4"/>
  <c r="S6" i="4"/>
  <c r="S5" i="4"/>
  <c r="S4" i="4"/>
  <c r="S3" i="4"/>
  <c r="S2" i="4"/>
  <c r="R4" i="4"/>
  <c r="R3" i="4"/>
  <c r="R2" i="4"/>
  <c r="R5" i="4"/>
  <c r="R6" i="4"/>
  <c r="R7" i="4"/>
  <c r="R8" i="4"/>
  <c r="Q3" i="4"/>
  <c r="Q2" i="4"/>
  <c r="P3" i="4"/>
  <c r="P2" i="4"/>
  <c r="H50" i="6"/>
  <c r="H49" i="6"/>
  <c r="K42" i="6"/>
  <c r="J42" i="6"/>
  <c r="K37" i="6"/>
  <c r="K38" i="6"/>
  <c r="K39" i="6"/>
  <c r="K40" i="6"/>
  <c r="K41" i="6"/>
  <c r="K36" i="6"/>
  <c r="J37" i="6"/>
  <c r="J38" i="6"/>
  <c r="J39" i="6"/>
  <c r="J40" i="6"/>
  <c r="J41" i="6"/>
  <c r="J36" i="6"/>
  <c r="G60" i="6"/>
  <c r="I60" i="6" s="1"/>
  <c r="G59" i="6"/>
  <c r="G57" i="6"/>
  <c r="H58" i="6"/>
  <c r="G58" i="6"/>
  <c r="F30" i="6"/>
  <c r="H21" i="6"/>
  <c r="H13" i="6"/>
  <c r="H12" i="6"/>
  <c r="H5" i="6"/>
  <c r="H4" i="6"/>
  <c r="E3" i="4"/>
  <c r="E2" i="4"/>
  <c r="Q3" i="3"/>
  <c r="Q4" i="3"/>
  <c r="B4" i="3"/>
  <c r="E4" i="3"/>
  <c r="R9" i="3"/>
  <c r="J46" i="6" l="1"/>
  <c r="J45"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7979549-727C-473A-9BC7-F1DD2E01E063}" keepAlive="1" name="Query - Transactions" description="Connection to the 'Transactions' query in the workbook." type="5" refreshedVersion="8" background="1" saveData="1">
    <dbPr connection="Provider=Microsoft.Mashup.OleDb.1;Data Source=$Workbook$;Location=Transactions;Extended Properties=&quot;&quot;" command="SELECT * FROM [Transactions]"/>
  </connection>
</connections>
</file>

<file path=xl/sharedStrings.xml><?xml version="1.0" encoding="utf-8"?>
<sst xmlns="http://schemas.openxmlformats.org/spreadsheetml/2006/main" count="11204" uniqueCount="1197">
  <si>
    <t>Transaction ID</t>
  </si>
  <si>
    <t>Date</t>
  </si>
  <si>
    <t>Year</t>
  </si>
  <si>
    <t>Customer ID</t>
  </si>
  <si>
    <t>Customer Name</t>
  </si>
  <si>
    <t>Region</t>
  </si>
  <si>
    <t>City</t>
  </si>
  <si>
    <t>Product ID</t>
  </si>
  <si>
    <t>Product Name</t>
  </si>
  <si>
    <t>Category</t>
  </si>
  <si>
    <t>Sales Rep</t>
  </si>
  <si>
    <t>Channel</t>
  </si>
  <si>
    <t>Qty</t>
  </si>
  <si>
    <t>Unit Price ($)</t>
  </si>
  <si>
    <t>Gross Sales ($)</t>
  </si>
  <si>
    <t>Discount %</t>
  </si>
  <si>
    <t>Discount ($)</t>
  </si>
  <si>
    <t>Net Sales ($)</t>
  </si>
  <si>
    <t>Tax ($)</t>
  </si>
  <si>
    <t>Total ($)</t>
  </si>
  <si>
    <t>Status</t>
  </si>
  <si>
    <t>TXN-00028</t>
  </si>
  <si>
    <t>C013</t>
  </si>
  <si>
    <t>Maverick Systems</t>
  </si>
  <si>
    <t>North</t>
  </si>
  <si>
    <t>Minneapolis</t>
  </si>
  <si>
    <t>PRD-006</t>
  </si>
  <si>
    <t>Notebook Set</t>
  </si>
  <si>
    <t>Stationery</t>
  </si>
  <si>
    <t>Bob Chen</t>
  </si>
  <si>
    <t>Phone</t>
  </si>
  <si>
    <t>Returned</t>
  </si>
  <si>
    <t>TXN-00025</t>
  </si>
  <si>
    <t>C002</t>
  </si>
  <si>
    <t>Blue Ridge Corp</t>
  </si>
  <si>
    <t>South</t>
  </si>
  <si>
    <t>Atlanta</t>
  </si>
  <si>
    <t>Carol Davis</t>
  </si>
  <si>
    <t>Partner</t>
  </si>
  <si>
    <t>Completed</t>
  </si>
  <si>
    <t>TXN-00023</t>
  </si>
  <si>
    <t>C008</t>
  </si>
  <si>
    <t>Horizon Group</t>
  </si>
  <si>
    <t>West</t>
  </si>
  <si>
    <t>Seattle</t>
  </si>
  <si>
    <t>PRD-010</t>
  </si>
  <si>
    <t>Webcam HD</t>
  </si>
  <si>
    <t>Electronics</t>
  </si>
  <si>
    <t>Eva Patel</t>
  </si>
  <si>
    <t>Direct</t>
  </si>
  <si>
    <t>TXN-00142</t>
  </si>
  <si>
    <t>C005</t>
  </si>
  <si>
    <t>Eagle Tech</t>
  </si>
  <si>
    <t>Chicago</t>
  </si>
  <si>
    <t>PRD-009</t>
  </si>
  <si>
    <t>Desk Lamp</t>
  </si>
  <si>
    <t>Furniture</t>
  </si>
  <si>
    <t>TXN-00113</t>
  </si>
  <si>
    <t>PRD-005</t>
  </si>
  <si>
    <t>Standing Desk</t>
  </si>
  <si>
    <t>David Kim</t>
  </si>
  <si>
    <t>TXN-00115</t>
  </si>
  <si>
    <t>C011</t>
  </si>
  <si>
    <t>Keystone Ventures</t>
  </si>
  <si>
    <t>East</t>
  </si>
  <si>
    <t>Washington DC</t>
  </si>
  <si>
    <t>PRD-013</t>
  </si>
  <si>
    <t>File Cabinet</t>
  </si>
  <si>
    <t>Alice Morgan</t>
  </si>
  <si>
    <t>Online</t>
  </si>
  <si>
    <t>TXN-00003</t>
  </si>
  <si>
    <t>PRD-001</t>
  </si>
  <si>
    <t>Laptop Pro 15</t>
  </si>
  <si>
    <t>Retail</t>
  </si>
  <si>
    <t>TXN-00109</t>
  </si>
  <si>
    <t>C003</t>
  </si>
  <si>
    <t>Crestview Ltd</t>
  </si>
  <si>
    <t>Boston</t>
  </si>
  <si>
    <t>PRD-012</t>
  </si>
  <si>
    <t>Pen Set</t>
  </si>
  <si>
    <t>TXN-00002</t>
  </si>
  <si>
    <t>C012</t>
  </si>
  <si>
    <t>Luminary Co</t>
  </si>
  <si>
    <t>Dallas</t>
  </si>
  <si>
    <t>PRD-011</t>
  </si>
  <si>
    <t>Headphones Pro</t>
  </si>
  <si>
    <t>TXN-00015</t>
  </si>
  <si>
    <t>C009</t>
  </si>
  <si>
    <t>Ironclad Partners</t>
  </si>
  <si>
    <t>Detroit</t>
  </si>
  <si>
    <t>TXN-00037</t>
  </si>
  <si>
    <t>C001</t>
  </si>
  <si>
    <t>Apex Solutions</t>
  </si>
  <si>
    <t>New York</t>
  </si>
  <si>
    <t>PRD-004</t>
  </si>
  <si>
    <t>Office Chair</t>
  </si>
  <si>
    <t>TXN-00007</t>
  </si>
  <si>
    <t>C006</t>
  </si>
  <si>
    <t>Foxfire Inc</t>
  </si>
  <si>
    <t>Miami</t>
  </si>
  <si>
    <t>PRD-002</t>
  </si>
  <si>
    <t>Wireless Mouse</t>
  </si>
  <si>
    <t>TXN-00091</t>
  </si>
  <si>
    <t>TXN-00213</t>
  </si>
  <si>
    <t>PRD-014</t>
  </si>
  <si>
    <t>Tablet 10"</t>
  </si>
  <si>
    <t>TXN-00045</t>
  </si>
  <si>
    <t>C015</t>
  </si>
  <si>
    <t>Orbit Industries</t>
  </si>
  <si>
    <t>Houston</t>
  </si>
  <si>
    <t>TXN-00168</t>
  </si>
  <si>
    <t>Pending</t>
  </si>
  <si>
    <t>TXN-00141</t>
  </si>
  <si>
    <t>TXN-00155</t>
  </si>
  <si>
    <t>TXN-00219</t>
  </si>
  <si>
    <t>TXN-00059</t>
  </si>
  <si>
    <t>TXN-00076</t>
  </si>
  <si>
    <t>TXN-00114</t>
  </si>
  <si>
    <t>TXN-00187</t>
  </si>
  <si>
    <t>TXN-00057</t>
  </si>
  <si>
    <t>TXN-00184</t>
  </si>
  <si>
    <t>TXN-00110</t>
  </si>
  <si>
    <t>C007</t>
  </si>
  <si>
    <t>Global Dynamics</t>
  </si>
  <si>
    <t>Philadelphia</t>
  </si>
  <si>
    <t>PRD-015</t>
  </si>
  <si>
    <t>Whiteboard</t>
  </si>
  <si>
    <t>TXN-00165</t>
  </si>
  <si>
    <t>PRD-008</t>
  </si>
  <si>
    <t>Monitor 27"</t>
  </si>
  <si>
    <t>TXN-00040</t>
  </si>
  <si>
    <t>TXN-00216</t>
  </si>
  <si>
    <t>TXN-00139</t>
  </si>
  <si>
    <t>TXN-00001</t>
  </si>
  <si>
    <t>TXN-00026</t>
  </si>
  <si>
    <t>TXN-00062</t>
  </si>
  <si>
    <t>TXN-00067</t>
  </si>
  <si>
    <t>TXN-00116</t>
  </si>
  <si>
    <t>TXN-00083</t>
  </si>
  <si>
    <t>TXN-00031</t>
  </si>
  <si>
    <t>TXN-00056</t>
  </si>
  <si>
    <t>TXN-00175</t>
  </si>
  <si>
    <t>C004</t>
  </si>
  <si>
    <t>Delta Enterprises</t>
  </si>
  <si>
    <t>Los Angeles</t>
  </si>
  <si>
    <t>PRD-007</t>
  </si>
  <si>
    <t>Mechanical Keyboard</t>
  </si>
  <si>
    <t>TXN-00207</t>
  </si>
  <si>
    <t>C014</t>
  </si>
  <si>
    <t>Nexus Trading</t>
  </si>
  <si>
    <t>Denver</t>
  </si>
  <si>
    <t>TXN-00174</t>
  </si>
  <si>
    <t>TXN-00093</t>
  </si>
  <si>
    <t>TXN-00027</t>
  </si>
  <si>
    <t>TXN-00172</t>
  </si>
  <si>
    <t>TXN-00071</t>
  </si>
  <si>
    <t>TXN-00195</t>
  </si>
  <si>
    <t>TXN-00021</t>
  </si>
  <si>
    <t>TXN-00098</t>
  </si>
  <si>
    <t>TXN-00170</t>
  </si>
  <si>
    <t>TXN-00066</t>
  </si>
  <si>
    <t>TXN-00161</t>
  </si>
  <si>
    <t>TXN-00094</t>
  </si>
  <si>
    <t>TXN-00143</t>
  </si>
  <si>
    <t>TXN-00167</t>
  </si>
  <si>
    <t>TXN-00131</t>
  </si>
  <si>
    <t>TXN-00063</t>
  </si>
  <si>
    <t>TXN-00129</t>
  </si>
  <si>
    <t>TXN-00149</t>
  </si>
  <si>
    <t>TXN-00035</t>
  </si>
  <si>
    <t>TXN-00171</t>
  </si>
  <si>
    <t>TXN-00075</t>
  </si>
  <si>
    <t>TXN-00102</t>
  </si>
  <si>
    <t>TXN-00136</t>
  </si>
  <si>
    <t>TXN-00010</t>
  </si>
  <si>
    <t>TXN-00090</t>
  </si>
  <si>
    <t>TXN-00100</t>
  </si>
  <si>
    <t>TXN-00132</t>
  </si>
  <si>
    <t>TXN-00018</t>
  </si>
  <si>
    <t>TXN-00099</t>
  </si>
  <si>
    <t>TXN-00044</t>
  </si>
  <si>
    <t>TXN-00070</t>
  </si>
  <si>
    <t>TXN-00073</t>
  </si>
  <si>
    <t>TXN-00095</t>
  </si>
  <si>
    <t>TXN-00064</t>
  </si>
  <si>
    <t>TXN-00055</t>
  </si>
  <si>
    <t>C010</t>
  </si>
  <si>
    <t>Jade Innovations</t>
  </si>
  <si>
    <t>San Francisco</t>
  </si>
  <si>
    <t>TXN-00111</t>
  </si>
  <si>
    <t>TXN-00078</t>
  </si>
  <si>
    <t>TXN-00153</t>
  </si>
  <si>
    <t>TXN-00126</t>
  </si>
  <si>
    <t>TXN-00065</t>
  </si>
  <si>
    <t>TXN-00152</t>
  </si>
  <si>
    <t>TXN-00200</t>
  </si>
  <si>
    <t>TXN-00133</t>
  </si>
  <si>
    <t>TXN-00049</t>
  </si>
  <si>
    <t>TXN-00198</t>
  </si>
  <si>
    <t>TXN-00206</t>
  </si>
  <si>
    <t>TXN-00189</t>
  </si>
  <si>
    <t>TXN-00140</t>
  </si>
  <si>
    <t>TXN-00157</t>
  </si>
  <si>
    <t>TXN-00069</t>
  </si>
  <si>
    <t>TXN-00050</t>
  </si>
  <si>
    <t>TXN-00079</t>
  </si>
  <si>
    <t>TXN-00179</t>
  </si>
  <si>
    <t>TXN-00182</t>
  </si>
  <si>
    <t>PRD-003</t>
  </si>
  <si>
    <t>USB-C Hub</t>
  </si>
  <si>
    <t>TXN-00101</t>
  </si>
  <si>
    <t>TXN-00042</t>
  </si>
  <si>
    <t>TXN-00005</t>
  </si>
  <si>
    <t>TXN-00190</t>
  </si>
  <si>
    <t>TXN-00029</t>
  </si>
  <si>
    <t>TXN-00218</t>
  </si>
  <si>
    <t>TXN-00011</t>
  </si>
  <si>
    <t>TXN-00203</t>
  </si>
  <si>
    <t>TXN-00134</t>
  </si>
  <si>
    <t>TXN-00068</t>
  </si>
  <si>
    <t>TXN-00122</t>
  </si>
  <si>
    <t>TXN-00034</t>
  </si>
  <si>
    <t>TXN-00119</t>
  </si>
  <si>
    <t>TXN-00006</t>
  </si>
  <si>
    <t>TXN-00047</t>
  </si>
  <si>
    <t>TXN-00112</t>
  </si>
  <si>
    <t>TXN-00128</t>
  </si>
  <si>
    <t>TXN-00022</t>
  </si>
  <si>
    <t>TXN-00017</t>
  </si>
  <si>
    <t>TXN-00208</t>
  </si>
  <si>
    <t>TXN-00185</t>
  </si>
  <si>
    <t>TXN-00086</t>
  </si>
  <si>
    <t>TXN-00108</t>
  </si>
  <si>
    <t>TXN-00046</t>
  </si>
  <si>
    <t>TXN-00103</t>
  </si>
  <si>
    <t>TXN-00084</t>
  </si>
  <si>
    <t>TXN-00163</t>
  </si>
  <si>
    <t>TXN-00180</t>
  </si>
  <si>
    <t>TXN-00072</t>
  </si>
  <si>
    <t>TXN-00173</t>
  </si>
  <si>
    <t>TXN-00204</t>
  </si>
  <si>
    <t>TXN-00146</t>
  </si>
  <si>
    <t>TXN-00054</t>
  </si>
  <si>
    <t>TXN-00085</t>
  </si>
  <si>
    <t>TXN-00104</t>
  </si>
  <si>
    <t>TXN-00196</t>
  </si>
  <si>
    <t>TXN-00019</t>
  </si>
  <si>
    <t>TXN-00087</t>
  </si>
  <si>
    <t>TXN-00124</t>
  </si>
  <si>
    <t>TXN-00188</t>
  </si>
  <si>
    <t>TXN-00107</t>
  </si>
  <si>
    <t>TXN-00162</t>
  </si>
  <si>
    <t>TXN-00158</t>
  </si>
  <si>
    <t>TXN-00088</t>
  </si>
  <si>
    <t>TXN-00097</t>
  </si>
  <si>
    <t>TXN-00127</t>
  </si>
  <si>
    <t>TXN-00147</t>
  </si>
  <si>
    <t>TXN-00183</t>
  </si>
  <si>
    <t>TXN-00096</t>
  </si>
  <si>
    <t>TXN-00041</t>
  </si>
  <si>
    <t>TXN-00074</t>
  </si>
  <si>
    <t>TXN-00105</t>
  </si>
  <si>
    <t>TXN-00138</t>
  </si>
  <si>
    <t>TXN-00178</t>
  </si>
  <si>
    <t>TXN-00197</t>
  </si>
  <si>
    <t>TXN-00123</t>
  </si>
  <si>
    <t>TXN-00144</t>
  </si>
  <si>
    <t>TXN-00205</t>
  </si>
  <si>
    <t>TXN-00176</t>
  </si>
  <si>
    <t>TXN-00020</t>
  </si>
  <si>
    <t>TXN-00166</t>
  </si>
  <si>
    <t>TXN-00032</t>
  </si>
  <si>
    <t>TXN-00051</t>
  </si>
  <si>
    <t>TXN-00013</t>
  </si>
  <si>
    <t>TXN-00043</t>
  </si>
  <si>
    <t>TXN-00077</t>
  </si>
  <si>
    <t>TXN-00137</t>
  </si>
  <si>
    <t>TXN-00058</t>
  </si>
  <si>
    <t>TXN-00081</t>
  </si>
  <si>
    <t>TXN-00125</t>
  </si>
  <si>
    <t>TXN-00214</t>
  </si>
  <si>
    <t>TXN-00060</t>
  </si>
  <si>
    <t>TXN-00154</t>
  </si>
  <si>
    <t>TXN-00106</t>
  </si>
  <si>
    <t>TXN-00135</t>
  </si>
  <si>
    <t>TXN-00008</t>
  </si>
  <si>
    <t>TXN-00150</t>
  </si>
  <si>
    <t>TXN-00061</t>
  </si>
  <si>
    <t>TXN-00211</t>
  </si>
  <si>
    <t>TXN-00145</t>
  </si>
  <si>
    <t>TXN-00121</t>
  </si>
  <si>
    <t>TXN-00191</t>
  </si>
  <si>
    <t>TXN-00199</t>
  </si>
  <si>
    <t>TXN-00016</t>
  </si>
  <si>
    <t>TXN-00030</t>
  </si>
  <si>
    <t>TXN-00053</t>
  </si>
  <si>
    <t>TXN-00148</t>
  </si>
  <si>
    <t>TXN-00156</t>
  </si>
  <si>
    <t>TXN-00039</t>
  </si>
  <si>
    <t>TXN-00160</t>
  </si>
  <si>
    <t>TXN-00080</t>
  </si>
  <si>
    <t>TXN-00118</t>
  </si>
  <si>
    <t>TXN-00193</t>
  </si>
  <si>
    <t>TXN-00177</t>
  </si>
  <si>
    <t>TXN-00004</t>
  </si>
  <si>
    <t>TXN-00036</t>
  </si>
  <si>
    <t>TXN-00052</t>
  </si>
  <si>
    <t>TXN-00151</t>
  </si>
  <si>
    <t>TXN-00130</t>
  </si>
  <si>
    <t>TXN-00159</t>
  </si>
  <si>
    <t>TXN-00117</t>
  </si>
  <si>
    <t>TXN-00192</t>
  </si>
  <si>
    <t>TXN-00186</t>
  </si>
  <si>
    <t>TXN-00120</t>
  </si>
  <si>
    <t>TXN-00202</t>
  </si>
  <si>
    <t>TXN-00092</t>
  </si>
  <si>
    <t>TXN-00201</t>
  </si>
  <si>
    <t>TXN-00212</t>
  </si>
  <si>
    <t>TXN-00210</t>
  </si>
  <si>
    <t>TXN-00014</t>
  </si>
  <si>
    <t>TXN-00024</t>
  </si>
  <si>
    <t>TXN-00181</t>
  </si>
  <si>
    <t>TXN-00089</t>
  </si>
  <si>
    <t>TXN-00220</t>
  </si>
  <si>
    <t>TXN-00082</t>
  </si>
  <si>
    <t>TXN-00194</t>
  </si>
  <si>
    <t>TXN-00038</t>
  </si>
  <si>
    <t>TXN-00209</t>
  </si>
  <si>
    <t>TXN-00033</t>
  </si>
  <si>
    <t>TXN-00217</t>
  </si>
  <si>
    <t>TXN-00164</t>
  </si>
  <si>
    <t>TXN-00048</t>
  </si>
  <si>
    <t>TXN-00215</t>
  </si>
  <si>
    <t>TXN-00169</t>
  </si>
  <si>
    <t>TXN-00012</t>
  </si>
  <si>
    <t>TXN-00009</t>
  </si>
  <si>
    <t>TXN-00226</t>
  </si>
  <si>
    <t>TXN-00313</t>
  </si>
  <si>
    <t>TXN-00287</t>
  </si>
  <si>
    <t>TXN-00262</t>
  </si>
  <si>
    <t>TXN-00363</t>
  </si>
  <si>
    <t>TXN-00225</t>
  </si>
  <si>
    <t>TXN-00352</t>
  </si>
  <si>
    <t>TXN-00230</t>
  </si>
  <si>
    <t>TXN-00331</t>
  </si>
  <si>
    <t>TXN-00303</t>
  </si>
  <si>
    <t>TXN-00260</t>
  </si>
  <si>
    <t>TXN-00318</t>
  </si>
  <si>
    <t>TXN-00391</t>
  </si>
  <si>
    <t>TXN-00292</t>
  </si>
  <si>
    <t>TXN-00367</t>
  </si>
  <si>
    <t>TXN-00372</t>
  </si>
  <si>
    <t>TXN-00320</t>
  </si>
  <si>
    <t>TXN-00346</t>
  </si>
  <si>
    <t>TXN-00384</t>
  </si>
  <si>
    <t>TXN-00344</t>
  </si>
  <si>
    <t>TXN-00332</t>
  </si>
  <si>
    <t>TXN-00283</t>
  </si>
  <si>
    <t>TXN-00323</t>
  </si>
  <si>
    <t>TXN-00342</t>
  </si>
  <si>
    <t>TXN-00237</t>
  </si>
  <si>
    <t>TXN-00370</t>
  </si>
  <si>
    <t>TXN-00289</t>
  </si>
  <si>
    <t>TXN-00396</t>
  </si>
  <si>
    <t>TXN-00402</t>
  </si>
  <si>
    <t>TXN-00366</t>
  </si>
  <si>
    <t>TXN-00244</t>
  </si>
  <si>
    <t>TXN-00266</t>
  </si>
  <si>
    <t>TXN-00359</t>
  </si>
  <si>
    <t>TXN-00257</t>
  </si>
  <si>
    <t>TXN-00248</t>
  </si>
  <si>
    <t>TXN-00309</t>
  </si>
  <si>
    <t>TXN-00371</t>
  </si>
  <si>
    <t>TXN-00224</t>
  </si>
  <si>
    <t>TXN-00223</t>
  </si>
  <si>
    <t>TXN-00305</t>
  </si>
  <si>
    <t>TXN-00373</t>
  </si>
  <si>
    <t>TXN-00271</t>
  </si>
  <si>
    <t>TXN-00277</t>
  </si>
  <si>
    <t>TXN-00291</t>
  </si>
  <si>
    <t>TXN-00397</t>
  </si>
  <si>
    <t>TXN-00361</t>
  </si>
  <si>
    <t>TXN-00362</t>
  </si>
  <si>
    <t>TXN-00347</t>
  </si>
  <si>
    <t>TXN-00326</t>
  </si>
  <si>
    <t>TXN-00400</t>
  </si>
  <si>
    <t>TXN-00324</t>
  </si>
  <si>
    <t>TXN-00322</t>
  </si>
  <si>
    <t>TXN-00387</t>
  </si>
  <si>
    <t>TXN-00404</t>
  </si>
  <si>
    <t>TXN-00294</t>
  </si>
  <si>
    <t>TXN-00268</t>
  </si>
  <si>
    <t>TXN-00296</t>
  </si>
  <si>
    <t>TXN-00340</t>
  </si>
  <si>
    <t>TXN-00265</t>
  </si>
  <si>
    <t>TXN-00300</t>
  </si>
  <si>
    <t>TXN-00302</t>
  </si>
  <si>
    <t>TXN-00236</t>
  </si>
  <si>
    <t>TXN-00399</t>
  </si>
  <si>
    <t>TXN-00395</t>
  </si>
  <si>
    <t>TXN-00330</t>
  </si>
  <si>
    <t>TXN-00409</t>
  </si>
  <si>
    <t>TXN-00392</t>
  </si>
  <si>
    <t>TXN-00335</t>
  </si>
  <si>
    <t>TXN-00410</t>
  </si>
  <si>
    <t>TXN-00272</t>
  </si>
  <si>
    <t>TXN-00349</t>
  </si>
  <si>
    <t>TXN-00280</t>
  </si>
  <si>
    <t>TXN-00295</t>
  </si>
  <si>
    <t>TXN-00348</t>
  </si>
  <si>
    <t>TXN-00306</t>
  </si>
  <si>
    <t>TXN-00388</t>
  </si>
  <si>
    <t>TXN-00398</t>
  </si>
  <si>
    <t>TXN-00354</t>
  </si>
  <si>
    <t>TXN-00360</t>
  </si>
  <si>
    <t>TXN-00401</t>
  </si>
  <si>
    <t>TXN-00234</t>
  </si>
  <si>
    <t>TXN-00406</t>
  </si>
  <si>
    <t>TXN-00355</t>
  </si>
  <si>
    <t>TXN-00375</t>
  </si>
  <si>
    <t>TXN-00285</t>
  </si>
  <si>
    <t>TXN-00413</t>
  </si>
  <si>
    <t>TXN-00357</t>
  </si>
  <si>
    <t>TXN-00221</t>
  </si>
  <si>
    <t>TXN-00290</t>
  </si>
  <si>
    <t>TXN-00242</t>
  </si>
  <si>
    <t>TXN-00315</t>
  </si>
  <si>
    <t>TXN-00327</t>
  </si>
  <si>
    <t>TXN-00228</t>
  </si>
  <si>
    <t>TXN-00263</t>
  </si>
  <si>
    <t>TXN-00321</t>
  </si>
  <si>
    <t>TXN-00358</t>
  </si>
  <si>
    <t>TXN-00275</t>
  </si>
  <si>
    <t>TXN-00256</t>
  </si>
  <si>
    <t>TXN-00301</t>
  </si>
  <si>
    <t>TXN-00264</t>
  </si>
  <si>
    <t>TXN-00408</t>
  </si>
  <si>
    <t>TXN-00343</t>
  </si>
  <si>
    <t>TXN-00383</t>
  </si>
  <si>
    <t>TXN-00253</t>
  </si>
  <si>
    <t>TXN-00261</t>
  </si>
  <si>
    <t>TXN-00239</t>
  </si>
  <si>
    <t>TXN-00279</t>
  </si>
  <si>
    <t>TXN-00382</t>
  </si>
  <si>
    <t>TXN-00337</t>
  </si>
  <si>
    <t>TXN-00293</t>
  </si>
  <si>
    <t>TXN-00304</t>
  </si>
  <si>
    <t>TXN-00299</t>
  </si>
  <si>
    <t>TXN-00250</t>
  </si>
  <si>
    <t>TXN-00317</t>
  </si>
  <si>
    <t>TXN-00273</t>
  </si>
  <si>
    <t>TXN-00412</t>
  </si>
  <si>
    <t>TXN-00312</t>
  </si>
  <si>
    <t>TXN-00243</t>
  </si>
  <si>
    <t>TXN-00297</t>
  </si>
  <si>
    <t>TXN-00356</t>
  </si>
  <si>
    <t>TXN-00288</t>
  </si>
  <si>
    <t>TXN-00231</t>
  </si>
  <si>
    <t>TXN-00336</t>
  </si>
  <si>
    <t>TXN-00258</t>
  </si>
  <si>
    <t>TXN-00308</t>
  </si>
  <si>
    <t>TXN-00334</t>
  </si>
  <si>
    <t>TXN-00350</t>
  </si>
  <si>
    <t>TXN-00278</t>
  </si>
  <si>
    <t>TXN-00254</t>
  </si>
  <si>
    <t>TXN-00298</t>
  </si>
  <si>
    <t>TXN-00380</t>
  </si>
  <si>
    <t>TXN-00403</t>
  </si>
  <si>
    <t>TXN-00227</t>
  </si>
  <si>
    <t>TXN-00311</t>
  </si>
  <si>
    <t>TXN-00386</t>
  </si>
  <si>
    <t>TXN-00319</t>
  </si>
  <si>
    <t>TXN-00338</t>
  </si>
  <si>
    <t>TXN-00369</t>
  </si>
  <si>
    <t>TXN-00345</t>
  </si>
  <si>
    <t>TXN-00222</t>
  </si>
  <si>
    <t>TXN-00341</t>
  </si>
  <si>
    <t>TXN-00368</t>
  </si>
  <si>
    <t>TXN-00246</t>
  </si>
  <si>
    <t>TXN-00389</t>
  </si>
  <si>
    <t>TXN-00245</t>
  </si>
  <si>
    <t>TXN-00393</t>
  </si>
  <si>
    <t>TXN-00270</t>
  </si>
  <si>
    <t>TXN-00251</t>
  </si>
  <si>
    <t>TXN-00276</t>
  </si>
  <si>
    <t>TXN-00310</t>
  </si>
  <si>
    <t>TXN-00353</t>
  </si>
  <si>
    <t>TXN-00379</t>
  </si>
  <si>
    <t>TXN-00364</t>
  </si>
  <si>
    <t>TXN-00233</t>
  </si>
  <si>
    <t>TXN-00240</t>
  </si>
  <si>
    <t>TXN-00394</t>
  </si>
  <si>
    <t>TXN-00232</t>
  </si>
  <si>
    <t>TXN-00329</t>
  </si>
  <si>
    <t>TXN-00374</t>
  </si>
  <si>
    <t>TXN-00229</t>
  </si>
  <si>
    <t>TXN-00252</t>
  </si>
  <si>
    <t>TXN-00269</t>
  </si>
  <si>
    <t>TXN-00281</t>
  </si>
  <si>
    <t>TXN-00316</t>
  </si>
  <si>
    <t>TXN-00249</t>
  </si>
  <si>
    <t>TXN-00328</t>
  </si>
  <si>
    <t>TXN-00307</t>
  </si>
  <si>
    <t>TXN-00407</t>
  </si>
  <si>
    <t>TXN-00267</t>
  </si>
  <si>
    <t>TXN-00274</t>
  </si>
  <si>
    <t>TXN-00405</t>
  </si>
  <si>
    <t>TXN-00333</t>
  </si>
  <si>
    <t>TXN-00365</t>
  </si>
  <si>
    <t>TXN-00411</t>
  </si>
  <si>
    <t>TXN-00314</t>
  </si>
  <si>
    <t>TXN-00351</t>
  </si>
  <si>
    <t>TXN-00325</t>
  </si>
  <si>
    <t>TXN-00385</t>
  </si>
  <si>
    <t>TXN-00241</t>
  </si>
  <si>
    <t>TXN-00377</t>
  </si>
  <si>
    <t>TXN-00390</t>
  </si>
  <si>
    <t>TXN-00255</t>
  </si>
  <si>
    <t>TXN-00282</t>
  </si>
  <si>
    <t>TXN-00381</t>
  </si>
  <si>
    <t>TXN-00286</t>
  </si>
  <si>
    <t>TXN-00238</t>
  </si>
  <si>
    <t>TXN-00378</t>
  </si>
  <si>
    <t>TXN-00284</t>
  </si>
  <si>
    <t>TXN-00339</t>
  </si>
  <si>
    <t>TXN-00235</t>
  </si>
  <si>
    <t>TXN-00247</t>
  </si>
  <si>
    <t>TXN-00259</t>
  </si>
  <si>
    <t>TXN-00376</t>
  </si>
  <si>
    <t>TXN-00423</t>
  </si>
  <si>
    <t>TXN-00593</t>
  </si>
  <si>
    <t>TXN-00510</t>
  </si>
  <si>
    <t>TXN-00576</t>
  </si>
  <si>
    <t>TXN-00465</t>
  </si>
  <si>
    <t>TXN-00517</t>
  </si>
  <si>
    <t>TXN-00513</t>
  </si>
  <si>
    <t>TXN-00476</t>
  </si>
  <si>
    <t>TXN-00579</t>
  </si>
  <si>
    <t>TXN-00539</t>
  </si>
  <si>
    <t>TXN-00434</t>
  </si>
  <si>
    <t>TXN-00440</t>
  </si>
  <si>
    <t>TXN-00480</t>
  </si>
  <si>
    <t>TXN-00421</t>
  </si>
  <si>
    <t>TXN-00422</t>
  </si>
  <si>
    <t>TXN-00547</t>
  </si>
  <si>
    <t>TXN-00418</t>
  </si>
  <si>
    <t>TXN-00447</t>
  </si>
  <si>
    <t>TXN-00578</t>
  </si>
  <si>
    <t>TXN-00475</t>
  </si>
  <si>
    <t>TXN-00470</t>
  </si>
  <si>
    <t>TXN-00472</t>
  </si>
  <si>
    <t>TXN-00581</t>
  </si>
  <si>
    <t>TXN-00582</t>
  </si>
  <si>
    <t>TXN-00508</t>
  </si>
  <si>
    <t>TXN-00473</t>
  </si>
  <si>
    <t>TXN-00467</t>
  </si>
  <si>
    <t>TXN-00433</t>
  </si>
  <si>
    <t>TXN-00540</t>
  </si>
  <si>
    <t>TXN-00592</t>
  </si>
  <si>
    <t>TXN-00486</t>
  </si>
  <si>
    <t>TXN-00538</t>
  </si>
  <si>
    <t>TXN-00575</t>
  </si>
  <si>
    <t>TXN-00570</t>
  </si>
  <si>
    <t>TXN-00496</t>
  </si>
  <si>
    <t>TXN-00479</t>
  </si>
  <si>
    <t>TXN-00504</t>
  </si>
  <si>
    <t>TXN-00571</t>
  </si>
  <si>
    <t>TXN-00514</t>
  </si>
  <si>
    <t>TXN-00477</t>
  </si>
  <si>
    <t>TXN-00493</t>
  </si>
  <si>
    <t>TXN-00419</t>
  </si>
  <si>
    <t>TXN-00537</t>
  </si>
  <si>
    <t>TXN-00483</t>
  </si>
  <si>
    <t>TXN-00446</t>
  </si>
  <si>
    <t>TXN-00449</t>
  </si>
  <si>
    <t>TXN-00456</t>
  </si>
  <si>
    <t>TXN-00600</t>
  </si>
  <si>
    <t>TXN-00420</t>
  </si>
  <si>
    <t>TXN-00544</t>
  </si>
  <si>
    <t>TXN-00448</t>
  </si>
  <si>
    <t>TXN-00568</t>
  </si>
  <si>
    <t>TXN-00414</t>
  </si>
  <si>
    <t>TXN-00536</t>
  </si>
  <si>
    <t>TXN-00429</t>
  </si>
  <si>
    <t>TXN-00565</t>
  </si>
  <si>
    <t>TXN-00436</t>
  </si>
  <si>
    <t>TXN-00542</t>
  </si>
  <si>
    <t>TXN-00584</t>
  </si>
  <si>
    <t>TXN-00484</t>
  </si>
  <si>
    <t>TXN-00468</t>
  </si>
  <si>
    <t>TXN-00524</t>
  </si>
  <si>
    <t>TXN-00541</t>
  </si>
  <si>
    <t>TXN-00546</t>
  </si>
  <si>
    <t>TXN-00588</t>
  </si>
  <si>
    <t>TXN-00487</t>
  </si>
  <si>
    <t>TXN-00559</t>
  </si>
  <si>
    <t>TXN-00551</t>
  </si>
  <si>
    <t>TXN-00451</t>
  </si>
  <si>
    <t>TXN-00555</t>
  </si>
  <si>
    <t>TXN-00532</t>
  </si>
  <si>
    <t>TXN-00503</t>
  </si>
  <si>
    <t>TXN-00527</t>
  </si>
  <si>
    <t>TXN-00566</t>
  </si>
  <si>
    <t>TXN-00573</t>
  </si>
  <si>
    <t>TXN-00561</t>
  </si>
  <si>
    <t>TXN-00599</t>
  </si>
  <si>
    <t>TXN-00528</t>
  </si>
  <si>
    <t>TXN-00596</t>
  </si>
  <si>
    <t>TXN-00498</t>
  </si>
  <si>
    <t>TXN-00583</t>
  </si>
  <si>
    <t>TXN-00497</t>
  </si>
  <si>
    <t>TXN-00564</t>
  </si>
  <si>
    <t>TXN-00424</t>
  </si>
  <si>
    <t>TXN-00431</t>
  </si>
  <si>
    <t>TXN-00428</t>
  </si>
  <si>
    <t>TXN-00459</t>
  </si>
  <si>
    <t>TXN-00526</t>
  </si>
  <si>
    <t>TXN-00489</t>
  </si>
  <si>
    <t>TXN-00533</t>
  </si>
  <si>
    <t>TXN-00452</t>
  </si>
  <si>
    <t>TXN-00507</t>
  </si>
  <si>
    <t>TXN-00594</t>
  </si>
  <si>
    <t>TXN-00415</t>
  </si>
  <si>
    <t>TXN-00500</t>
  </si>
  <si>
    <t>TXN-00427</t>
  </si>
  <si>
    <t>TXN-00471</t>
  </si>
  <si>
    <t>TXN-00492</t>
  </si>
  <si>
    <t>TXN-00490</t>
  </si>
  <si>
    <t>TXN-00512</t>
  </si>
  <si>
    <t>TXN-00574</t>
  </si>
  <si>
    <t>TXN-00499</t>
  </si>
  <si>
    <t>TXN-00469</t>
  </si>
  <si>
    <t>TXN-00454</t>
  </si>
  <si>
    <t>TXN-00441</t>
  </si>
  <si>
    <t>TXN-00505</t>
  </si>
  <si>
    <t>TXN-00554</t>
  </si>
  <si>
    <t>TXN-00558</t>
  </si>
  <si>
    <t>TXN-00589</t>
  </si>
  <si>
    <t>TXN-00569</t>
  </si>
  <si>
    <t>TXN-00535</t>
  </si>
  <si>
    <t>TXN-00417</t>
  </si>
  <si>
    <t>TXN-00482</t>
  </si>
  <si>
    <t>TXN-00516</t>
  </si>
  <si>
    <t>TXN-00463</t>
  </si>
  <si>
    <t>TXN-00557</t>
  </si>
  <si>
    <t>TXN-00519</t>
  </si>
  <si>
    <t>TXN-00443</t>
  </si>
  <si>
    <t>TXN-00453</t>
  </si>
  <si>
    <t>TXN-00425</t>
  </si>
  <si>
    <t>TXN-00494</t>
  </si>
  <si>
    <t>TXN-00515</t>
  </si>
  <si>
    <t>TXN-00556</t>
  </si>
  <si>
    <t>TXN-00464</t>
  </si>
  <si>
    <t>TXN-00591</t>
  </si>
  <si>
    <t>TXN-00466</t>
  </si>
  <si>
    <t>TXN-00597</t>
  </si>
  <si>
    <t>TXN-00534</t>
  </si>
  <si>
    <t>TXN-00518</t>
  </si>
  <si>
    <t>TXN-00598</t>
  </si>
  <si>
    <t>TXN-00438</t>
  </si>
  <si>
    <t>TXN-00587</t>
  </si>
  <si>
    <t>TXN-00444</t>
  </si>
  <si>
    <t>TXN-00523</t>
  </si>
  <si>
    <t>TXN-00442</t>
  </si>
  <si>
    <t>TXN-00435</t>
  </si>
  <si>
    <t>TXN-00460</t>
  </si>
  <si>
    <t>TXN-00430</t>
  </si>
  <si>
    <t>TXN-00457</t>
  </si>
  <si>
    <t>TXN-00502</t>
  </si>
  <si>
    <t>TXN-00455</t>
  </si>
  <si>
    <t>TXN-00488</t>
  </si>
  <si>
    <t>TXN-00511</t>
  </si>
  <si>
    <t>TXN-00491</t>
  </si>
  <si>
    <t>TXN-00478</t>
  </si>
  <si>
    <t>TXN-00501</t>
  </si>
  <si>
    <t>TXN-00567</t>
  </si>
  <si>
    <t>TXN-00577</t>
  </si>
  <si>
    <t>TXN-00530</t>
  </si>
  <si>
    <t>TXN-00549</t>
  </si>
  <si>
    <t>TXN-00552</t>
  </si>
  <si>
    <t>TXN-00506</t>
  </si>
  <si>
    <t>TXN-00439</t>
  </si>
  <si>
    <t>TXN-00521</t>
  </si>
  <si>
    <t>TXN-00563</t>
  </si>
  <si>
    <t>TXN-00525</t>
  </si>
  <si>
    <t>TXN-00545</t>
  </si>
  <si>
    <t>TXN-00572</t>
  </si>
  <si>
    <t>TXN-00509</t>
  </si>
  <si>
    <t>TXN-00585</t>
  </si>
  <si>
    <t>TXN-00481</t>
  </si>
  <si>
    <t>TXN-00495</t>
  </si>
  <si>
    <t>TXN-00590</t>
  </si>
  <si>
    <t>TXN-00462</t>
  </si>
  <si>
    <t>TXN-00543</t>
  </si>
  <si>
    <t>TXN-00550</t>
  </si>
  <si>
    <t>TXN-00426</t>
  </si>
  <si>
    <t>TXN-00458</t>
  </si>
  <si>
    <t>TXN-00445</t>
  </si>
  <si>
    <t>TXN-00595</t>
  </si>
  <si>
    <t>TXN-00520</t>
  </si>
  <si>
    <t>TXN-00432</t>
  </si>
  <si>
    <t>TXN-00416</t>
  </si>
  <si>
    <t>TXN-00560</t>
  </si>
  <si>
    <t>TXN-00461</t>
  </si>
  <si>
    <t>TXN-00437</t>
  </si>
  <si>
    <t>TXN-00474</t>
  </si>
  <si>
    <t>TXN-00529</t>
  </si>
  <si>
    <t>TXN-00531</t>
  </si>
  <si>
    <t>TXN-00553</t>
  </si>
  <si>
    <t>TXN-00450</t>
  </si>
  <si>
    <t>TXN-00522</t>
  </si>
  <si>
    <t>TXN-00562</t>
  </si>
  <si>
    <t>TXN-00586</t>
  </si>
  <si>
    <t>TXN-00485</t>
  </si>
  <si>
    <t>TXN-00548</t>
  </si>
  <si>
    <t>TXN-00580</t>
  </si>
  <si>
    <t>TXN-00641</t>
  </si>
  <si>
    <t>TXN-00731</t>
  </si>
  <si>
    <t>TXN-00602</t>
  </si>
  <si>
    <t>TXN-00704</t>
  </si>
  <si>
    <t>TXN-00682</t>
  </si>
  <si>
    <t>TXN-00748</t>
  </si>
  <si>
    <t>TXN-00761</t>
  </si>
  <si>
    <t>TXN-00730</t>
  </si>
  <si>
    <t>TXN-00659</t>
  </si>
  <si>
    <t>TXN-00737</t>
  </si>
  <si>
    <t>TXN-00771</t>
  </si>
  <si>
    <t>TXN-00671</t>
  </si>
  <si>
    <t>TXN-00739</t>
  </si>
  <si>
    <t>TXN-00783</t>
  </si>
  <si>
    <t>TXN-00665</t>
  </si>
  <si>
    <t>TXN-00723</t>
  </si>
  <si>
    <t>TXN-00640</t>
  </si>
  <si>
    <t>TXN-00711</t>
  </si>
  <si>
    <t>TXN-00757</t>
  </si>
  <si>
    <t>TXN-00609</t>
  </si>
  <si>
    <t>TXN-00674</t>
  </si>
  <si>
    <t>TXN-00622</t>
  </si>
  <si>
    <t>TXN-00616</t>
  </si>
  <si>
    <t>TXN-00606</t>
  </si>
  <si>
    <t>TXN-00750</t>
  </si>
  <si>
    <t>TXN-00619</t>
  </si>
  <si>
    <t>TXN-00707</t>
  </si>
  <si>
    <t>TXN-00651</t>
  </si>
  <si>
    <t>TXN-00655</t>
  </si>
  <si>
    <t>TXN-00755</t>
  </si>
  <si>
    <t>TXN-00740</t>
  </si>
  <si>
    <t>TXN-00744</t>
  </si>
  <si>
    <t>TXN-00613</t>
  </si>
  <si>
    <t>TXN-00785</t>
  </si>
  <si>
    <t>TXN-00608</t>
  </si>
  <si>
    <t>TXN-00753</t>
  </si>
  <si>
    <t>TXN-00794</t>
  </si>
  <si>
    <t>TXN-00749</t>
  </si>
  <si>
    <t>TXN-00612</t>
  </si>
  <si>
    <t>TXN-00694</t>
  </si>
  <si>
    <t>TXN-00795</t>
  </si>
  <si>
    <t>TXN-00662</t>
  </si>
  <si>
    <t>TXN-00778</t>
  </si>
  <si>
    <t>TXN-00727</t>
  </si>
  <si>
    <t>TXN-00716</t>
  </si>
  <si>
    <t>TXN-00642</t>
  </si>
  <si>
    <t>TXN-00791</t>
  </si>
  <si>
    <t>TXN-00725</t>
  </si>
  <si>
    <t>TXN-00714</t>
  </si>
  <si>
    <t>TXN-00780</t>
  </si>
  <si>
    <t>TXN-00722</t>
  </si>
  <si>
    <t>TXN-00779</t>
  </si>
  <si>
    <t>TXN-00696</t>
  </si>
  <si>
    <t>TXN-00745</t>
  </si>
  <si>
    <t>TXN-00747</t>
  </si>
  <si>
    <t>TXN-00654</t>
  </si>
  <si>
    <t>TXN-00706</t>
  </si>
  <si>
    <t>TXN-00620</t>
  </si>
  <si>
    <t>TXN-00762</t>
  </si>
  <si>
    <t>TXN-00702</t>
  </si>
  <si>
    <t>TXN-00605</t>
  </si>
  <si>
    <t>TXN-00652</t>
  </si>
  <si>
    <t>TXN-00614</t>
  </si>
  <si>
    <t>TXN-00635</t>
  </si>
  <si>
    <t>TXN-00672</t>
  </si>
  <si>
    <t>TXN-00632</t>
  </si>
  <si>
    <t>TXN-00611</t>
  </si>
  <si>
    <t>TXN-00687</t>
  </si>
  <si>
    <t>TXN-00709</t>
  </si>
  <si>
    <t>TXN-00626</t>
  </si>
  <si>
    <t>TXN-00633</t>
  </si>
  <si>
    <t>TXN-00685</t>
  </si>
  <si>
    <t>TXN-00777</t>
  </si>
  <si>
    <t>TXN-00720</t>
  </si>
  <si>
    <t>TXN-00787</t>
  </si>
  <si>
    <t>TXN-00796</t>
  </si>
  <si>
    <t>TXN-00691</t>
  </si>
  <si>
    <t>TXN-00645</t>
  </si>
  <si>
    <t>TXN-00690</t>
  </si>
  <si>
    <t>TXN-00733</t>
  </si>
  <si>
    <t>TXN-00719</t>
  </si>
  <si>
    <t>TXN-00726</t>
  </si>
  <si>
    <t>TXN-00789</t>
  </si>
  <si>
    <t>TXN-00610</t>
  </si>
  <si>
    <t>TXN-00637</t>
  </si>
  <si>
    <t>TXN-00650</t>
  </si>
  <si>
    <t>TXN-00623</t>
  </si>
  <si>
    <t>TXN-00663</t>
  </si>
  <si>
    <t>TXN-00767</t>
  </si>
  <si>
    <t>TXN-00718</t>
  </si>
  <si>
    <t>TXN-00735</t>
  </si>
  <si>
    <t>TXN-00673</t>
  </si>
  <si>
    <t>TXN-00732</t>
  </si>
  <si>
    <t>TXN-00700</t>
  </si>
  <si>
    <t>TXN-00759</t>
  </si>
  <si>
    <t>TXN-00666</t>
  </si>
  <si>
    <t>TXN-00697</t>
  </si>
  <si>
    <t>TXN-00644</t>
  </si>
  <si>
    <t>TXN-00601</t>
  </si>
  <si>
    <t>TXN-00607</t>
  </si>
  <si>
    <t>TXN-00660</t>
  </si>
  <si>
    <t>TXN-00768</t>
  </si>
  <si>
    <t>TXN-00729</t>
  </si>
  <si>
    <t>TXN-00786</t>
  </si>
  <si>
    <t>TXN-00701</t>
  </si>
  <si>
    <t>TXN-00636</t>
  </si>
  <si>
    <t>TXN-00670</t>
  </si>
  <si>
    <t>TXN-00649</t>
  </si>
  <si>
    <t>TXN-00676</t>
  </si>
  <si>
    <t>TXN-00669</t>
  </si>
  <si>
    <t>TXN-00681</t>
  </si>
  <si>
    <t>TXN-00698</t>
  </si>
  <si>
    <t>TXN-00688</t>
  </si>
  <si>
    <t>TXN-00736</t>
  </si>
  <si>
    <t>TXN-00693</t>
  </si>
  <si>
    <t>TXN-00724</t>
  </si>
  <si>
    <t>TXN-00746</t>
  </si>
  <si>
    <t>TXN-00760</t>
  </si>
  <si>
    <t>TXN-00629</t>
  </si>
  <si>
    <t>TXN-00656</t>
  </si>
  <si>
    <t>TXN-00683</t>
  </si>
  <si>
    <t>TXN-00713</t>
  </si>
  <si>
    <t>TXN-00679</t>
  </si>
  <si>
    <t>TXN-00793</t>
  </si>
  <si>
    <t>TXN-00754</t>
  </si>
  <si>
    <t>TXN-00678</t>
  </si>
  <si>
    <t>TXN-00618</t>
  </si>
  <si>
    <t>TXN-00797</t>
  </si>
  <si>
    <t>TXN-00774</t>
  </si>
  <si>
    <t>TXN-00751</t>
  </si>
  <si>
    <t>TXN-00717</t>
  </si>
  <si>
    <t>TXN-00741</t>
  </si>
  <si>
    <t>TXN-00675</t>
  </si>
  <si>
    <t>TXN-00689</t>
  </si>
  <si>
    <t>TXN-00715</t>
  </si>
  <si>
    <t>TXN-00756</t>
  </si>
  <si>
    <t>TXN-00792</t>
  </si>
  <si>
    <t>TXN-00631</t>
  </si>
  <si>
    <t>TXN-00699</t>
  </si>
  <si>
    <t>TXN-00639</t>
  </si>
  <si>
    <t>TXN-00766</t>
  </si>
  <si>
    <t>TXN-00770</t>
  </si>
  <si>
    <t>TXN-00784</t>
  </si>
  <si>
    <t>TXN-00677</t>
  </si>
  <si>
    <t>TXN-00734</t>
  </si>
  <si>
    <t>TXN-00695</t>
  </si>
  <si>
    <t>TXN-00664</t>
  </si>
  <si>
    <t>TXN-00630</t>
  </si>
  <si>
    <t>TXN-00657</t>
  </si>
  <si>
    <t>TXN-00628</t>
  </si>
  <si>
    <t>TXN-00798</t>
  </si>
  <si>
    <t>TXN-00758</t>
  </si>
  <si>
    <t>TXN-00624</t>
  </si>
  <si>
    <t>TXN-00769</t>
  </si>
  <si>
    <t>TXN-00684</t>
  </si>
  <si>
    <t>TXN-00634</t>
  </si>
  <si>
    <t>TXN-00643</t>
  </si>
  <si>
    <t>TXN-00661</t>
  </si>
  <si>
    <t>TXN-00680</t>
  </si>
  <si>
    <t>TXN-00667</t>
  </si>
  <si>
    <t>TXN-00692</t>
  </si>
  <si>
    <t>TXN-00708</t>
  </si>
  <si>
    <t>TXN-00765</t>
  </si>
  <si>
    <t>TXN-00728</t>
  </si>
  <si>
    <t>TXN-00627</t>
  </si>
  <si>
    <t>TXN-00790</t>
  </si>
  <si>
    <t>TXN-00721</t>
  </si>
  <si>
    <t>TXN-00781</t>
  </si>
  <si>
    <t>TXN-00603</t>
  </si>
  <si>
    <t>TXN-00668</t>
  </si>
  <si>
    <t>TXN-00772</t>
  </si>
  <si>
    <t>TXN-00653</t>
  </si>
  <si>
    <t>TXN-00705</t>
  </si>
  <si>
    <t>TXN-00621</t>
  </si>
  <si>
    <t>TXN-00646</t>
  </si>
  <si>
    <t>TXN-00710</t>
  </si>
  <si>
    <t>TXN-00738</t>
  </si>
  <si>
    <t>TXN-00686</t>
  </si>
  <si>
    <t>TXN-00604</t>
  </si>
  <si>
    <t>TXN-00775</t>
  </si>
  <si>
    <t>TXN-00776</t>
  </si>
  <si>
    <t>TXN-00782</t>
  </si>
  <si>
    <t>TXN-00742</t>
  </si>
  <si>
    <t>TXN-00764</t>
  </si>
  <si>
    <t>TXN-00647</t>
  </si>
  <si>
    <t>TXN-00773</t>
  </si>
  <si>
    <t>TXN-00617</t>
  </si>
  <si>
    <t>TXN-00752</t>
  </si>
  <si>
    <t>TXN-00712</t>
  </si>
  <si>
    <t>TXN-00625</t>
  </si>
  <si>
    <t>TXN-00703</t>
  </si>
  <si>
    <t>TXN-00658</t>
  </si>
  <si>
    <t>TXN-00648</t>
  </si>
  <si>
    <t>TXN-00638</t>
  </si>
  <si>
    <t>TXN-00743</t>
  </si>
  <si>
    <t>TXN-00763</t>
  </si>
  <si>
    <t>TXN-00788</t>
  </si>
  <si>
    <t>TXN-00615</t>
  </si>
  <si>
    <t>TXN-00840</t>
  </si>
  <si>
    <t>TXN-00818</t>
  </si>
  <si>
    <t>TXN-00882</t>
  </si>
  <si>
    <t>TXN-00996</t>
  </si>
  <si>
    <t>TXN-00988</t>
  </si>
  <si>
    <t>TXN-00982</t>
  </si>
  <si>
    <t>TXN-00964</t>
  </si>
  <si>
    <t>TXN-00907</t>
  </si>
  <si>
    <t>TXN-00898</t>
  </si>
  <si>
    <t>TXN-00804</t>
  </si>
  <si>
    <t>TXN-00866</t>
  </si>
  <si>
    <t>TXN-00983</t>
  </si>
  <si>
    <t>TXN-00973</t>
  </si>
  <si>
    <t>TXN-00825</t>
  </si>
  <si>
    <t>TXN-00821</t>
  </si>
  <si>
    <t>TXN-00989</t>
  </si>
  <si>
    <t>TXN-00992</t>
  </si>
  <si>
    <t>TXN-00872</t>
  </si>
  <si>
    <t>TXN-00986</t>
  </si>
  <si>
    <t>TXN-00939</t>
  </si>
  <si>
    <t>TXN-00999</t>
  </si>
  <si>
    <t>TXN-00858</t>
  </si>
  <si>
    <t>TXN-00861</t>
  </si>
  <si>
    <t>TXN-00915</t>
  </si>
  <si>
    <t>TXN-00959</t>
  </si>
  <si>
    <t>TXN-00953</t>
  </si>
  <si>
    <t>TXN-00979</t>
  </si>
  <si>
    <t>TXN-00874</t>
  </si>
  <si>
    <t>TXN-00931</t>
  </si>
  <si>
    <t>TXN-00927</t>
  </si>
  <si>
    <t>TXN-01000</t>
  </si>
  <si>
    <t>TXN-00944</t>
  </si>
  <si>
    <t>TXN-00819</t>
  </si>
  <si>
    <t>TXN-00993</t>
  </si>
  <si>
    <t>TXN-00934</t>
  </si>
  <si>
    <t>TXN-00865</t>
  </si>
  <si>
    <t>TXN-00876</t>
  </si>
  <si>
    <t>TXN-00829</t>
  </si>
  <si>
    <t>TXN-00870</t>
  </si>
  <si>
    <t>TXN-00852</t>
  </si>
  <si>
    <t>TXN-00892</t>
  </si>
  <si>
    <t>TXN-00968</t>
  </si>
  <si>
    <t>TXN-00820</t>
  </si>
  <si>
    <t>TXN-00839</t>
  </si>
  <si>
    <t>TXN-00806</t>
  </si>
  <si>
    <t>TXN-00884</t>
  </si>
  <si>
    <t>TXN-00946</t>
  </si>
  <si>
    <t>TXN-00978</t>
  </si>
  <si>
    <t>TXN-00862</t>
  </si>
  <si>
    <t>TXN-00958</t>
  </si>
  <si>
    <t>TXN-00976</t>
  </si>
  <si>
    <t>TXN-00948</t>
  </si>
  <si>
    <t>TXN-00903</t>
  </si>
  <si>
    <t>TXN-00887</t>
  </si>
  <si>
    <t>TXN-00911</t>
  </si>
  <si>
    <t>TXN-00867</t>
  </si>
  <si>
    <t>TXN-00969</t>
  </si>
  <si>
    <t>TXN-00912</t>
  </si>
  <si>
    <t>TXN-00961</t>
  </si>
  <si>
    <t>TXN-00802</t>
  </si>
  <si>
    <t>TXN-00971</t>
  </si>
  <si>
    <t>TXN-00873</t>
  </si>
  <si>
    <t>TXN-00896</t>
  </si>
  <si>
    <t>TXN-00828</t>
  </si>
  <si>
    <t>TXN-00908</t>
  </si>
  <si>
    <t>TXN-00833</t>
  </si>
  <si>
    <t>TXN-00822</t>
  </si>
  <si>
    <t>TXN-00889</t>
  </si>
  <si>
    <t>TXN-00880</t>
  </si>
  <si>
    <t>TXN-00981</t>
  </si>
  <si>
    <t>TXN-00837</t>
  </si>
  <si>
    <t>TXN-00913</t>
  </si>
  <si>
    <t>TXN-00850</t>
  </si>
  <si>
    <t>TXN-00906</t>
  </si>
  <si>
    <t>TXN-00977</t>
  </si>
  <si>
    <t>TXN-00914</t>
  </si>
  <si>
    <t>TXN-00970</t>
  </si>
  <si>
    <t>TXN-00800</t>
  </si>
  <si>
    <t>TXN-00995</t>
  </si>
  <si>
    <t>TXN-00923</t>
  </si>
  <si>
    <t>TXN-00844</t>
  </si>
  <si>
    <t>TXN-00893</t>
  </si>
  <si>
    <t>TXN-00871</t>
  </si>
  <si>
    <t>TXN-00941</t>
  </si>
  <si>
    <t>TXN-00947</t>
  </si>
  <si>
    <t>TXN-00937</t>
  </si>
  <si>
    <t>TXN-00826</t>
  </si>
  <si>
    <t>TXN-00904</t>
  </si>
  <si>
    <t>TXN-00954</t>
  </si>
  <si>
    <t>TXN-00817</t>
  </si>
  <si>
    <t>TXN-00985</t>
  </si>
  <si>
    <t>TXN-00811</t>
  </si>
  <si>
    <t>TXN-00863</t>
  </si>
  <si>
    <t>TXN-00938</t>
  </si>
  <si>
    <t>TXN-00832</t>
  </si>
  <si>
    <t>TXN-00920</t>
  </si>
  <si>
    <t>TXN-00859</t>
  </si>
  <si>
    <t>TXN-00808</t>
  </si>
  <si>
    <t>TXN-00842</t>
  </si>
  <si>
    <t>TXN-00841</t>
  </si>
  <si>
    <t>TXN-00987</t>
  </si>
  <si>
    <t>TXN-00957</t>
  </si>
  <si>
    <t>TXN-00922</t>
  </si>
  <si>
    <t>TXN-00928</t>
  </si>
  <si>
    <t>TXN-00894</t>
  </si>
  <si>
    <t>TXN-00994</t>
  </si>
  <si>
    <t>TXN-00831</t>
  </si>
  <si>
    <t>TXN-00886</t>
  </si>
  <si>
    <t>TXN-00945</t>
  </si>
  <si>
    <t>TXN-00899</t>
  </si>
  <si>
    <t>TXN-00910</t>
  </si>
  <si>
    <t>TXN-00890</t>
  </si>
  <si>
    <t>TXN-00823</t>
  </si>
  <si>
    <t>TXN-00991</t>
  </si>
  <si>
    <t>TXN-00942</t>
  </si>
  <si>
    <t>TXN-00799</t>
  </si>
  <si>
    <t>TXN-00925</t>
  </si>
  <si>
    <t>TXN-00929</t>
  </si>
  <si>
    <t>TXN-00878</t>
  </si>
  <si>
    <t>TXN-00877</t>
  </si>
  <si>
    <t>TXN-00956</t>
  </si>
  <si>
    <t>TXN-00827</t>
  </si>
  <si>
    <t>TXN-00965</t>
  </si>
  <si>
    <t>TXN-00813</t>
  </si>
  <si>
    <t>TXN-00851</t>
  </si>
  <si>
    <t>TXN-00926</t>
  </si>
  <si>
    <t>TXN-00855</t>
  </si>
  <si>
    <t>TXN-00967</t>
  </si>
  <si>
    <t>TXN-00955</t>
  </si>
  <si>
    <t>TXN-00869</t>
  </si>
  <si>
    <t>TXN-00972</t>
  </si>
  <si>
    <t>TXN-00812</t>
  </si>
  <si>
    <t>TXN-00974</t>
  </si>
  <si>
    <t>TXN-00838</t>
  </si>
  <si>
    <t>TXN-00853</t>
  </si>
  <si>
    <t>TXN-00930</t>
  </si>
  <si>
    <t>TXN-00963</t>
  </si>
  <si>
    <t>TXN-00917</t>
  </si>
  <si>
    <t>TXN-00966</t>
  </si>
  <si>
    <t>TXN-00990</t>
  </si>
  <si>
    <t>TXN-00845</t>
  </si>
  <si>
    <t>TXN-00816</t>
  </si>
  <si>
    <t>TXN-00849</t>
  </si>
  <si>
    <t>TXN-00918</t>
  </si>
  <si>
    <t>TXN-00909</t>
  </si>
  <si>
    <t>TXN-00900</t>
  </si>
  <si>
    <t>TXN-00921</t>
  </si>
  <si>
    <t>TXN-00809</t>
  </si>
  <si>
    <t>TXN-00856</t>
  </si>
  <si>
    <t>TXN-00919</t>
  </si>
  <si>
    <t>TXN-01001</t>
  </si>
  <si>
    <t>TXN-00875</t>
  </si>
  <si>
    <t>TXN-00824</t>
  </si>
  <si>
    <t>TXN-00952</t>
  </si>
  <si>
    <t>TXN-00810</t>
  </si>
  <si>
    <t>TXN-00885</t>
  </si>
  <si>
    <t>TXN-00815</t>
  </si>
  <si>
    <t>TXN-00847</t>
  </si>
  <si>
    <t>TXN-00949</t>
  </si>
  <si>
    <t>TXN-00950</t>
  </si>
  <si>
    <t>TXN-00916</t>
  </si>
  <si>
    <t>TXN-00881</t>
  </si>
  <si>
    <t>TXN-00835</t>
  </si>
  <si>
    <t>TXN-00830</t>
  </si>
  <si>
    <t>TXN-01002</t>
  </si>
  <si>
    <t>TXN-00901</t>
  </si>
  <si>
    <t>TXN-00933</t>
  </si>
  <si>
    <t>TXN-00857</t>
  </si>
  <si>
    <t>TXN-00905</t>
  </si>
  <si>
    <t>TXN-00888</t>
  </si>
  <si>
    <t>TXN-00836</t>
  </si>
  <si>
    <t>TXN-00805</t>
  </si>
  <si>
    <t>TXN-00848</t>
  </si>
  <si>
    <t>TXN-00846</t>
  </si>
  <si>
    <t>TXN-00864</t>
  </si>
  <si>
    <t>TXN-00895</t>
  </si>
  <si>
    <t>TXN-00897</t>
  </si>
  <si>
    <t>TXN-00860</t>
  </si>
  <si>
    <t>TXN-00902</t>
  </si>
  <si>
    <t>TXN-00924</t>
  </si>
  <si>
    <t>TXN-00807</t>
  </si>
  <si>
    <t>TXN-00932</t>
  </si>
  <si>
    <t>TXN-00951</t>
  </si>
  <si>
    <t>TXN-00962</t>
  </si>
  <si>
    <t>TXN-00997</t>
  </si>
  <si>
    <t>TXN-00843</t>
  </si>
  <si>
    <t>TXN-00980</t>
  </si>
  <si>
    <t>TXN-00935</t>
  </si>
  <si>
    <t>TXN-00940</t>
  </si>
  <si>
    <t>TXN-00883</t>
  </si>
  <si>
    <t>TXN-00868</t>
  </si>
  <si>
    <t>TXN-00943</t>
  </si>
  <si>
    <t>TXN-00975</t>
  </si>
  <si>
    <t>TXN-00854</t>
  </si>
  <si>
    <t>TXN-00834</t>
  </si>
  <si>
    <t>TXN-00936</t>
  </si>
  <si>
    <t>TXN-00803</t>
  </si>
  <si>
    <t>TXN-00814</t>
  </si>
  <si>
    <t>TXN-00960</t>
  </si>
  <si>
    <t>TXN-00879</t>
  </si>
  <si>
    <t>TXN-00984</t>
  </si>
  <si>
    <t>TXN-00891</t>
  </si>
  <si>
    <t>TXN-00998</t>
  </si>
  <si>
    <t>TXN-00801</t>
  </si>
  <si>
    <t>Count of Transaction ID</t>
  </si>
  <si>
    <t>Total Orders</t>
  </si>
  <si>
    <t>Sum of Total ($)</t>
  </si>
  <si>
    <t>Total Sales</t>
  </si>
  <si>
    <t>Row Labels</t>
  </si>
  <si>
    <t>Grand Total</t>
  </si>
  <si>
    <t>Sum of Qty</t>
  </si>
  <si>
    <t>percent</t>
  </si>
  <si>
    <t>P1</t>
  </si>
  <si>
    <t>P2</t>
  </si>
  <si>
    <t>P3</t>
  </si>
  <si>
    <t>Total</t>
  </si>
  <si>
    <t>Net Sales</t>
  </si>
  <si>
    <t>Inventory</t>
  </si>
  <si>
    <t>We need total the net sales:</t>
  </si>
  <si>
    <t>SUM(B2:D2)</t>
  </si>
  <si>
    <t>For Inventory we last value</t>
  </si>
  <si>
    <t>Last value</t>
  </si>
  <si>
    <t>D3</t>
  </si>
  <si>
    <t>So we can use IF formula and AND</t>
  </si>
  <si>
    <t>Formula</t>
  </si>
  <si>
    <t>IF(AND(A2="Net Sales"),SUM(B2:D2),D3)</t>
  </si>
  <si>
    <t>AND</t>
  </si>
  <si>
    <t>It's check the condition is true and false</t>
  </si>
  <si>
    <t>Jan</t>
  </si>
  <si>
    <t>Feb</t>
  </si>
  <si>
    <t>Mar</t>
  </si>
  <si>
    <t>Apr</t>
  </si>
  <si>
    <t>May</t>
  </si>
  <si>
    <t>Jun</t>
  </si>
  <si>
    <t>Jul</t>
  </si>
  <si>
    <t>Aug</t>
  </si>
  <si>
    <t>Sep</t>
  </si>
  <si>
    <t>Oct</t>
  </si>
  <si>
    <t>Nov</t>
  </si>
  <si>
    <t>Dec</t>
  </si>
  <si>
    <t>Excel:</t>
  </si>
  <si>
    <t>VLOOKUP</t>
  </si>
  <si>
    <t>HLOOKUP</t>
  </si>
  <si>
    <t>INDEX</t>
  </si>
  <si>
    <t>MATCH</t>
  </si>
  <si>
    <t>IF</t>
  </si>
  <si>
    <t>IFs</t>
  </si>
  <si>
    <t>COUNTIF</t>
  </si>
  <si>
    <t>COUNT</t>
  </si>
  <si>
    <t>SUM</t>
  </si>
  <si>
    <t>SUMIF</t>
  </si>
  <si>
    <t>SUMIFS</t>
  </si>
  <si>
    <t>OR</t>
  </si>
  <si>
    <t>PROPER</t>
  </si>
  <si>
    <t>LEFT</t>
  </si>
  <si>
    <t>RIGHT</t>
  </si>
  <si>
    <t>TRIM</t>
  </si>
  <si>
    <t>Part A</t>
  </si>
  <si>
    <t>Part B</t>
  </si>
  <si>
    <t>ASD</t>
  </si>
  <si>
    <t>qwer</t>
  </si>
  <si>
    <t>zxc</t>
  </si>
  <si>
    <t>dfg</t>
  </si>
  <si>
    <t>ert</t>
  </si>
  <si>
    <t>Vlookup</t>
  </si>
  <si>
    <t>Match</t>
  </si>
  <si>
    <t>It looks the data in which row and you can use for the find the column as well.</t>
  </si>
  <si>
    <t>Anjan Kumar</t>
  </si>
  <si>
    <t xml:space="preserve"> string</t>
  </si>
  <si>
    <t>Kumar Pradi</t>
  </si>
  <si>
    <t xml:space="preserve">   kumar</t>
  </si>
  <si>
    <t>Pass</t>
  </si>
  <si>
    <t>Good</t>
  </si>
  <si>
    <t>Great</t>
  </si>
  <si>
    <t>Winner</t>
  </si>
  <si>
    <t>Numbers</t>
  </si>
  <si>
    <t>Result</t>
  </si>
  <si>
    <t>A</t>
  </si>
  <si>
    <t>B</t>
  </si>
  <si>
    <t>C</t>
  </si>
  <si>
    <t>June</t>
  </si>
  <si>
    <t>Avg of last 3 months</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</si>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</sst>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00_);_([$$-409]* \(#,##0.00\);_([$$-409]* &quot;-&quot;??_);_(@_)"/>
  </numFmts>
  <fonts count="6" x14ac:knownFonts="1">
    <font>
      <sz val="11"/>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
      <sz val="12"/>
      <color theme="1"/>
      <name val="Calibri"/>
      <family val="2"/>
      <scheme val="minor"/>
    </font>
    <font>
      <b/>
      <sz val="12"/>
      <color theme="1"/>
      <name val="Calibri"/>
      <family val="2"/>
      <scheme val="minor"/>
    </font>
  </fonts>
  <fills count="2">
    <fill>
      <patternFill patternType="none"/>
    </fill>
    <fill>
      <patternFill patternType="gray125"/>
    </fill>
  </fills>
  <borders count="13">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s>
  <cellStyleXfs count="2">
    <xf numFmtId="0" fontId="0" fillId="0" borderId="0"/>
    <xf numFmtId="9" fontId="1" fillId="0" borderId="0" applyFont="0" applyFill="0" applyBorder="0" applyAlignment="0" applyProtection="0"/>
  </cellStyleXfs>
  <cellXfs count="24">
    <xf numFmtId="0" fontId="0" fillId="0" borderId="0" xfId="0"/>
    <xf numFmtId="14"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164" fontId="0" fillId="0" borderId="0" xfId="0" applyNumberFormat="1"/>
    <xf numFmtId="0" fontId="0" fillId="0" borderId="0" xfId="0" applyAlignment="1">
      <alignment horizontal="left"/>
    </xf>
    <xf numFmtId="10" fontId="0" fillId="0" borderId="0" xfId="0" applyNumberFormat="1"/>
    <xf numFmtId="9" fontId="0" fillId="0" borderId="0" xfId="1" applyFont="1"/>
    <xf numFmtId="0" fontId="0" fillId="0" borderId="10" xfId="0" applyBorder="1"/>
    <xf numFmtId="0" fontId="2" fillId="0" borderId="0" xfId="0" applyFont="1"/>
    <xf numFmtId="0" fontId="5" fillId="0" borderId="0" xfId="0" applyFont="1" applyAlignment="1">
      <alignment vertical="center"/>
    </xf>
    <xf numFmtId="0" fontId="4" fillId="0" borderId="0" xfId="0" applyFont="1" applyAlignment="1">
      <alignment vertical="center"/>
    </xf>
    <xf numFmtId="0" fontId="0" fillId="0" borderId="11" xfId="0" applyBorder="1"/>
    <xf numFmtId="0" fontId="0" fillId="0" borderId="12" xfId="0" applyBorder="1"/>
    <xf numFmtId="0" fontId="2" fillId="0" borderId="0" xfId="0" applyFont="1" applyAlignment="1">
      <alignment horizontal="center"/>
    </xf>
    <xf numFmtId="0" fontId="0" fillId="0" borderId="0" xfId="0" applyNumberFormat="1"/>
  </cellXfs>
  <cellStyles count="2">
    <cellStyle name="Normal" xfId="0" builtinId="0"/>
    <cellStyle name="Percent" xfId="1" builtinId="5"/>
  </cellStyles>
  <dxfs count="1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Dashboard.xlsx]Pivot table!PivotTable4</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table'!$H$3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table'!$G$4:$G$7</c:f>
              <c:strCache>
                <c:ptCount val="3"/>
                <c:pt idx="0">
                  <c:v>Electronics</c:v>
                </c:pt>
                <c:pt idx="1">
                  <c:v>Furniture</c:v>
                </c:pt>
                <c:pt idx="2">
                  <c:v>Stationery</c:v>
                </c:pt>
              </c:strCache>
            </c:strRef>
          </c:cat>
          <c:val>
            <c:numRef>
              <c:f>'Pivot table'!$H$4:$H$7</c:f>
              <c:numCache>
                <c:formatCode>General</c:formatCode>
                <c:ptCount val="3"/>
                <c:pt idx="0">
                  <c:v>2449437.5099999979</c:v>
                </c:pt>
                <c:pt idx="1">
                  <c:v>1010145.0599999996</c:v>
                </c:pt>
                <c:pt idx="2">
                  <c:v>84004.869999999952</c:v>
                </c:pt>
              </c:numCache>
            </c:numRef>
          </c:val>
          <c:extLst>
            <c:ext xmlns:c16="http://schemas.microsoft.com/office/drawing/2014/chart" uri="{C3380CC4-5D6E-409C-BE32-E72D297353CC}">
              <c16:uniqueId val="{00000000-CB91-4FCB-94AF-232DEF114780}"/>
            </c:ext>
          </c:extLst>
        </c:ser>
        <c:dLbls>
          <c:dLblPos val="outEnd"/>
          <c:showLegendKey val="0"/>
          <c:showVal val="1"/>
          <c:showCatName val="0"/>
          <c:showSerName val="0"/>
          <c:showPercent val="0"/>
          <c:showBubbleSize val="0"/>
        </c:dLbls>
        <c:gapWidth val="182"/>
        <c:axId val="1193298336"/>
        <c:axId val="1193294376"/>
      </c:barChart>
      <c:catAx>
        <c:axId val="11932983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294376"/>
        <c:crosses val="autoZero"/>
        <c:auto val="1"/>
        <c:lblAlgn val="ctr"/>
        <c:lblOffset val="100"/>
        <c:noMultiLvlLbl val="0"/>
      </c:catAx>
      <c:valAx>
        <c:axId val="11932943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298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'Pivot table'!$M$3</c:f>
              <c:strCache>
                <c:ptCount val="1"/>
                <c:pt idx="0">
                  <c:v>percent</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CEF-4A6F-9CDC-81BB4FBA214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CEF-4A6F-9CDC-81BB4FBA2143}"/>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CEF-4A6F-9CDC-81BB4FBA214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table'!$L$4:$L$6</c:f>
              <c:strCache>
                <c:ptCount val="3"/>
                <c:pt idx="0">
                  <c:v>Completed</c:v>
                </c:pt>
                <c:pt idx="1">
                  <c:v>Pending</c:v>
                </c:pt>
                <c:pt idx="2">
                  <c:v>Returned</c:v>
                </c:pt>
              </c:strCache>
            </c:strRef>
          </c:cat>
          <c:val>
            <c:numRef>
              <c:f>'Pivot table'!$M$4:$M$6</c:f>
              <c:numCache>
                <c:formatCode>0%</c:formatCode>
                <c:ptCount val="3"/>
                <c:pt idx="0">
                  <c:v>0.67964071856287422</c:v>
                </c:pt>
                <c:pt idx="1">
                  <c:v>0.17165668662674652</c:v>
                </c:pt>
                <c:pt idx="2">
                  <c:v>0.14870259481037923</c:v>
                </c:pt>
              </c:numCache>
            </c:numRef>
          </c:val>
          <c:extLst>
            <c:ext xmlns:c16="http://schemas.microsoft.com/office/drawing/2014/chart" uri="{C3380CC4-5D6E-409C-BE32-E72D297353CC}">
              <c16:uniqueId val="{00000000-7016-41C2-A170-B26423E81445}"/>
            </c:ext>
          </c:extLst>
        </c:ser>
        <c:ser>
          <c:idx val="1"/>
          <c:order val="1"/>
          <c:tx>
            <c:strRef>
              <c:f>'Pivot table'!$N$3</c:f>
              <c:strCache>
                <c:ptCount val="1"/>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3CEF-4A6F-9CDC-81BB4FBA214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3CEF-4A6F-9CDC-81BB4FBA2143}"/>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3CEF-4A6F-9CDC-81BB4FBA214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table'!$L$4:$L$6</c:f>
              <c:strCache>
                <c:ptCount val="3"/>
                <c:pt idx="0">
                  <c:v>Completed</c:v>
                </c:pt>
                <c:pt idx="1">
                  <c:v>Pending</c:v>
                </c:pt>
                <c:pt idx="2">
                  <c:v>Returned</c:v>
                </c:pt>
              </c:strCache>
            </c:strRef>
          </c:cat>
          <c:val>
            <c:numRef>
              <c:f>'Pivot table'!$N$4:$N$6</c:f>
              <c:numCache>
                <c:formatCode>0.00%</c:formatCode>
                <c:ptCount val="3"/>
              </c:numCache>
            </c:numRef>
          </c:val>
          <c:extLst>
            <c:ext xmlns:c16="http://schemas.microsoft.com/office/drawing/2014/chart" uri="{C3380CC4-5D6E-409C-BE32-E72D297353CC}">
              <c16:uniqueId val="{00000001-7016-41C2-A170-B26423E8144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Dashboard.xlsx]Pivot table!PivotTable8</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table'!$T$3</c:f>
              <c:strCache>
                <c:ptCount val="1"/>
                <c:pt idx="0">
                  <c:v>Total</c:v>
                </c:pt>
              </c:strCache>
            </c:strRef>
          </c:tx>
          <c:spPr>
            <a:solidFill>
              <a:schemeClr val="accent1"/>
            </a:solidFill>
            <a:ln>
              <a:noFill/>
            </a:ln>
            <a:effectLst/>
          </c:spPr>
          <c:invertIfNegative val="0"/>
          <c:cat>
            <c:strRef>
              <c:f>'Pivot table'!$S$4:$S$19</c:f>
              <c:strCache>
                <c:ptCount val="15"/>
                <c:pt idx="0">
                  <c:v>Desk Lamp</c:v>
                </c:pt>
                <c:pt idx="1">
                  <c:v>File Cabinet</c:v>
                </c:pt>
                <c:pt idx="2">
                  <c:v>Headphones Pro</c:v>
                </c:pt>
                <c:pt idx="3">
                  <c:v>Laptop Pro 15</c:v>
                </c:pt>
                <c:pt idx="4">
                  <c:v>Mechanical Keyboard</c:v>
                </c:pt>
                <c:pt idx="5">
                  <c:v>Monitor 27"</c:v>
                </c:pt>
                <c:pt idx="6">
                  <c:v>Notebook Set</c:v>
                </c:pt>
                <c:pt idx="7">
                  <c:v>Office Chair</c:v>
                </c:pt>
                <c:pt idx="8">
                  <c:v>Pen Set</c:v>
                </c:pt>
                <c:pt idx="9">
                  <c:v>Standing Desk</c:v>
                </c:pt>
                <c:pt idx="10">
                  <c:v>Tablet 10"</c:v>
                </c:pt>
                <c:pt idx="11">
                  <c:v>USB-C Hub</c:v>
                </c:pt>
                <c:pt idx="12">
                  <c:v>Webcam HD</c:v>
                </c:pt>
                <c:pt idx="13">
                  <c:v>Whiteboard</c:v>
                </c:pt>
                <c:pt idx="14">
                  <c:v>Wireless Mouse</c:v>
                </c:pt>
              </c:strCache>
            </c:strRef>
          </c:cat>
          <c:val>
            <c:numRef>
              <c:f>'Pivot table'!$T$4:$T$19</c:f>
              <c:numCache>
                <c:formatCode>General</c:formatCode>
                <c:ptCount val="15"/>
                <c:pt idx="0">
                  <c:v>33122.299999999996</c:v>
                </c:pt>
                <c:pt idx="1">
                  <c:v>197645.85000000003</c:v>
                </c:pt>
                <c:pt idx="2">
                  <c:v>233394.94999999995</c:v>
                </c:pt>
                <c:pt idx="3">
                  <c:v>1203585.1800000002</c:v>
                </c:pt>
                <c:pt idx="4">
                  <c:v>125495.34</c:v>
                </c:pt>
                <c:pt idx="5">
                  <c:v>365894.89999999991</c:v>
                </c:pt>
                <c:pt idx="6">
                  <c:v>8599.4900000000016</c:v>
                </c:pt>
                <c:pt idx="7">
                  <c:v>385023.60000000003</c:v>
                </c:pt>
                <c:pt idx="8">
                  <c:v>6287.08</c:v>
                </c:pt>
                <c:pt idx="9">
                  <c:v>394353.31</c:v>
                </c:pt>
                <c:pt idx="10">
                  <c:v>386142.99000000005</c:v>
                </c:pt>
                <c:pt idx="11">
                  <c:v>35509.829999999987</c:v>
                </c:pt>
                <c:pt idx="12">
                  <c:v>73098.999999999971</c:v>
                </c:pt>
                <c:pt idx="13">
                  <c:v>69118.299999999988</c:v>
                </c:pt>
                <c:pt idx="14">
                  <c:v>26315.320000000003</c:v>
                </c:pt>
              </c:numCache>
            </c:numRef>
          </c:val>
          <c:extLst>
            <c:ext xmlns:c16="http://schemas.microsoft.com/office/drawing/2014/chart" uri="{C3380CC4-5D6E-409C-BE32-E72D297353CC}">
              <c16:uniqueId val="{00000000-54E0-460B-82D5-ACABF4AE04C4}"/>
            </c:ext>
          </c:extLst>
        </c:ser>
        <c:dLbls>
          <c:showLegendKey val="0"/>
          <c:showVal val="0"/>
          <c:showCatName val="0"/>
          <c:showSerName val="0"/>
          <c:showPercent val="0"/>
          <c:showBubbleSize val="0"/>
        </c:dLbls>
        <c:gapWidth val="182"/>
        <c:axId val="575320216"/>
        <c:axId val="575323096"/>
      </c:barChart>
      <c:catAx>
        <c:axId val="575320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323096"/>
        <c:crosses val="autoZero"/>
        <c:auto val="1"/>
        <c:lblAlgn val="ctr"/>
        <c:lblOffset val="100"/>
        <c:noMultiLvlLbl val="0"/>
      </c:catAx>
      <c:valAx>
        <c:axId val="5753230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320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Dashboard.xlsx]Pivot table!PivotTable9</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table'!$W$3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table'!$V$4:$V$9</c:f>
              <c:strCache>
                <c:ptCount val="5"/>
                <c:pt idx="0">
                  <c:v>2021</c:v>
                </c:pt>
                <c:pt idx="1">
                  <c:v>2022</c:v>
                </c:pt>
                <c:pt idx="2">
                  <c:v>2023</c:v>
                </c:pt>
                <c:pt idx="3">
                  <c:v>2024</c:v>
                </c:pt>
                <c:pt idx="4">
                  <c:v>2025</c:v>
                </c:pt>
              </c:strCache>
            </c:strRef>
          </c:cat>
          <c:val>
            <c:numRef>
              <c:f>'Pivot table'!$W$4:$W$9</c:f>
              <c:numCache>
                <c:formatCode>General</c:formatCode>
                <c:ptCount val="5"/>
                <c:pt idx="0">
                  <c:v>728810.9299999997</c:v>
                </c:pt>
                <c:pt idx="1">
                  <c:v>668703.28999999946</c:v>
                </c:pt>
                <c:pt idx="2">
                  <c:v>726230.48000000033</c:v>
                </c:pt>
                <c:pt idx="3">
                  <c:v>842165.61</c:v>
                </c:pt>
                <c:pt idx="4">
                  <c:v>577677.12999999966</c:v>
                </c:pt>
              </c:numCache>
            </c:numRef>
          </c:val>
          <c:extLst>
            <c:ext xmlns:c16="http://schemas.microsoft.com/office/drawing/2014/chart" uri="{C3380CC4-5D6E-409C-BE32-E72D297353CC}">
              <c16:uniqueId val="{00000000-328B-4149-AEF0-375C169C9A8A}"/>
            </c:ext>
          </c:extLst>
        </c:ser>
        <c:dLbls>
          <c:dLblPos val="outEnd"/>
          <c:showLegendKey val="0"/>
          <c:showVal val="1"/>
          <c:showCatName val="0"/>
          <c:showSerName val="0"/>
          <c:showPercent val="0"/>
          <c:showBubbleSize val="0"/>
        </c:dLbls>
        <c:gapWidth val="219"/>
        <c:overlap val="-27"/>
        <c:axId val="1204738528"/>
        <c:axId val="1204734208"/>
      </c:barChart>
      <c:catAx>
        <c:axId val="1204738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4734208"/>
        <c:crosses val="autoZero"/>
        <c:auto val="1"/>
        <c:lblAlgn val="ctr"/>
        <c:lblOffset val="100"/>
        <c:noMultiLvlLbl val="0"/>
      </c:catAx>
      <c:valAx>
        <c:axId val="12047342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4738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Dashboard.xlsx]Pivot table!PivotTable1</c:name>
    <c:fmtId val="1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table'!$AC$3</c:f>
              <c:strCache>
                <c:ptCount val="1"/>
                <c:pt idx="0">
                  <c:v>Total</c:v>
                </c:pt>
              </c:strCache>
            </c:strRef>
          </c:tx>
          <c:spPr>
            <a:ln w="28575" cap="rnd">
              <a:solidFill>
                <a:schemeClr val="accent1"/>
              </a:solidFill>
              <a:round/>
            </a:ln>
            <a:effectLst/>
          </c:spPr>
          <c:marker>
            <c:symbol val="none"/>
          </c:marker>
          <c:cat>
            <c:strRef>
              <c:f>'Pivot table'!$AB$4:$AB$16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table'!$AC$4:$AC$16</c:f>
              <c:numCache>
                <c:formatCode>General</c:formatCode>
                <c:ptCount val="12"/>
                <c:pt idx="0">
                  <c:v>328708.32</c:v>
                </c:pt>
                <c:pt idx="1">
                  <c:v>216183.97000000006</c:v>
                </c:pt>
                <c:pt idx="2">
                  <c:v>334842.38000000012</c:v>
                </c:pt>
                <c:pt idx="3">
                  <c:v>230188.89999999997</c:v>
                </c:pt>
                <c:pt idx="4">
                  <c:v>322688.07</c:v>
                </c:pt>
                <c:pt idx="5">
                  <c:v>253064.33999999997</c:v>
                </c:pt>
                <c:pt idx="6">
                  <c:v>308276.67</c:v>
                </c:pt>
                <c:pt idx="7">
                  <c:v>284907.32000000007</c:v>
                </c:pt>
                <c:pt idx="8">
                  <c:v>216657.79000000012</c:v>
                </c:pt>
                <c:pt idx="9">
                  <c:v>435322.08999999979</c:v>
                </c:pt>
                <c:pt idx="10">
                  <c:v>318186.08000000013</c:v>
                </c:pt>
                <c:pt idx="11">
                  <c:v>294561.51000000013</c:v>
                </c:pt>
              </c:numCache>
            </c:numRef>
          </c:val>
          <c:smooth val="0"/>
          <c:extLst>
            <c:ext xmlns:c16="http://schemas.microsoft.com/office/drawing/2014/chart" uri="{C3380CC4-5D6E-409C-BE32-E72D297353CC}">
              <c16:uniqueId val="{00000000-4AA0-4014-AFBD-2913C2C4408A}"/>
            </c:ext>
          </c:extLst>
        </c:ser>
        <c:dLbls>
          <c:showLegendKey val="0"/>
          <c:showVal val="0"/>
          <c:showCatName val="0"/>
          <c:showSerName val="0"/>
          <c:showPercent val="0"/>
          <c:showBubbleSize val="0"/>
        </c:dLbls>
        <c:smooth val="0"/>
        <c:axId val="978966536"/>
        <c:axId val="978967616"/>
      </c:lineChart>
      <c:catAx>
        <c:axId val="978966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8967616"/>
        <c:crosses val="autoZero"/>
        <c:auto val="1"/>
        <c:lblAlgn val="ctr"/>
        <c:lblOffset val="100"/>
        <c:noMultiLvlLbl val="0"/>
      </c:catAx>
      <c:valAx>
        <c:axId val="978967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8966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Dashboard.xlsx]Pivot table!PivotTable4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table'!$H$3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table'!$G$4:$G$7</c:f>
              <c:strCache>
                <c:ptCount val="3"/>
                <c:pt idx="0">
                  <c:v>Electronics</c:v>
                </c:pt>
                <c:pt idx="1">
                  <c:v>Furniture</c:v>
                </c:pt>
                <c:pt idx="2">
                  <c:v>Stationery</c:v>
                </c:pt>
              </c:strCache>
            </c:strRef>
          </c:cat>
          <c:val>
            <c:numRef>
              <c:f>'Pivot table'!$H$4:$H$7</c:f>
              <c:numCache>
                <c:formatCode>General</c:formatCode>
                <c:ptCount val="3"/>
                <c:pt idx="0">
                  <c:v>2449437.5099999979</c:v>
                </c:pt>
                <c:pt idx="1">
                  <c:v>1010145.0599999996</c:v>
                </c:pt>
                <c:pt idx="2">
                  <c:v>84004.869999999952</c:v>
                </c:pt>
              </c:numCache>
            </c:numRef>
          </c:val>
          <c:extLst>
            <c:ext xmlns:c16="http://schemas.microsoft.com/office/drawing/2014/chart" uri="{C3380CC4-5D6E-409C-BE32-E72D297353CC}">
              <c16:uniqueId val="{00000000-34A7-474D-B6FC-A978C4405D17}"/>
            </c:ext>
          </c:extLst>
        </c:ser>
        <c:dLbls>
          <c:dLblPos val="outEnd"/>
          <c:showLegendKey val="0"/>
          <c:showVal val="1"/>
          <c:showCatName val="0"/>
          <c:showSerName val="0"/>
          <c:showPercent val="0"/>
          <c:showBubbleSize val="0"/>
        </c:dLbls>
        <c:gapWidth val="182"/>
        <c:axId val="1193298336"/>
        <c:axId val="1193294376"/>
      </c:barChart>
      <c:catAx>
        <c:axId val="1193298336"/>
        <c:scaling>
          <c:orientation val="minMax"/>
        </c:scaling>
        <c:delete val="0"/>
        <c:axPos val="l"/>
        <c:numFmt formatCode="General" sourceLinked="1"/>
        <c:majorTickMark val="out"/>
        <c:minorTickMark val="none"/>
        <c:tickLblPos val="nextTo"/>
        <c:spPr>
          <a:noFill/>
          <a:ln w="9525" cap="flat" cmpd="sng" algn="ctr">
            <a:solidFill>
              <a:schemeClr val="bg1"/>
            </a:solidFill>
            <a:round/>
          </a:ln>
          <a:effectLst/>
        </c:spPr>
        <c:txPr>
          <a:bodyPr rot="-60000000" spcFirstLastPara="1" vertOverflow="ellipsis" vert="horz" wrap="square" anchor="ctr" anchorCtr="1"/>
          <a:lstStyle/>
          <a:p>
            <a:pPr>
              <a:defRPr sz="900" b="0" i="0" u="none" strike="noStrike" kern="1200" baseline="0">
                <a:ln>
                  <a:noFill/>
                </a:ln>
                <a:solidFill>
                  <a:schemeClr val="bg1"/>
                </a:solidFill>
                <a:latin typeface="+mn-lt"/>
                <a:ea typeface="+mn-ea"/>
                <a:cs typeface="+mn-cs"/>
              </a:defRPr>
            </a:pPr>
            <a:endParaRPr lang="en-US"/>
          </a:p>
        </c:txPr>
        <c:crossAx val="1193294376"/>
        <c:crosses val="autoZero"/>
        <c:auto val="1"/>
        <c:lblAlgn val="ctr"/>
        <c:lblOffset val="100"/>
        <c:noMultiLvlLbl val="0"/>
      </c:catAx>
      <c:valAx>
        <c:axId val="1193294376"/>
        <c:scaling>
          <c:orientation val="minMax"/>
        </c:scaling>
        <c:delete val="1"/>
        <c:axPos val="b"/>
        <c:numFmt formatCode="General" sourceLinked="1"/>
        <c:majorTickMark val="out"/>
        <c:minorTickMark val="none"/>
        <c:tickLblPos val="nextTo"/>
        <c:crossAx val="1193298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'Pivot table'!$M$3</c:f>
              <c:strCache>
                <c:ptCount val="1"/>
                <c:pt idx="0">
                  <c:v>percent</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086-4F17-87B2-BCE5AF64039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086-4F17-87B2-BCE5AF640397}"/>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086-4F17-87B2-BCE5AF64039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table'!$L$4:$L$6</c:f>
              <c:strCache>
                <c:ptCount val="3"/>
                <c:pt idx="0">
                  <c:v>Completed</c:v>
                </c:pt>
                <c:pt idx="1">
                  <c:v>Pending</c:v>
                </c:pt>
                <c:pt idx="2">
                  <c:v>Returned</c:v>
                </c:pt>
              </c:strCache>
            </c:strRef>
          </c:cat>
          <c:val>
            <c:numRef>
              <c:f>'Pivot table'!$M$4:$M$6</c:f>
              <c:numCache>
                <c:formatCode>0%</c:formatCode>
                <c:ptCount val="3"/>
                <c:pt idx="0">
                  <c:v>0.67964071856287422</c:v>
                </c:pt>
                <c:pt idx="1">
                  <c:v>0.17165668662674652</c:v>
                </c:pt>
                <c:pt idx="2">
                  <c:v>0.14870259481037923</c:v>
                </c:pt>
              </c:numCache>
            </c:numRef>
          </c:val>
          <c:extLst>
            <c:ext xmlns:c16="http://schemas.microsoft.com/office/drawing/2014/chart" uri="{C3380CC4-5D6E-409C-BE32-E72D297353CC}">
              <c16:uniqueId val="{00000006-D086-4F17-87B2-BCE5AF640397}"/>
            </c:ext>
          </c:extLst>
        </c:ser>
        <c:ser>
          <c:idx val="1"/>
          <c:order val="1"/>
          <c:tx>
            <c:strRef>
              <c:f>'Pivot table'!$N$3</c:f>
              <c:strCache>
                <c:ptCount val="1"/>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8-D086-4F17-87B2-BCE5AF64039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A-D086-4F17-87B2-BCE5AF640397}"/>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C-D086-4F17-87B2-BCE5AF64039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table'!$L$4:$L$6</c:f>
              <c:strCache>
                <c:ptCount val="3"/>
                <c:pt idx="0">
                  <c:v>Completed</c:v>
                </c:pt>
                <c:pt idx="1">
                  <c:v>Pending</c:v>
                </c:pt>
                <c:pt idx="2">
                  <c:v>Returned</c:v>
                </c:pt>
              </c:strCache>
            </c:strRef>
          </c:cat>
          <c:val>
            <c:numRef>
              <c:f>'Pivot table'!$N$4:$N$6</c:f>
              <c:numCache>
                <c:formatCode>0.00%</c:formatCode>
                <c:ptCount val="3"/>
              </c:numCache>
            </c:numRef>
          </c:val>
          <c:extLst>
            <c:ext xmlns:c16="http://schemas.microsoft.com/office/drawing/2014/chart" uri="{C3380CC4-5D6E-409C-BE32-E72D297353CC}">
              <c16:uniqueId val="{0000000D-D086-4F17-87B2-BCE5AF64039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Dashboard.xlsx]Pivot table!PivotTable9</c:name>
    <c:fmtId val="15"/>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table'!$W$3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table'!$V$4:$V$9</c:f>
              <c:strCache>
                <c:ptCount val="5"/>
                <c:pt idx="0">
                  <c:v>2021</c:v>
                </c:pt>
                <c:pt idx="1">
                  <c:v>2022</c:v>
                </c:pt>
                <c:pt idx="2">
                  <c:v>2023</c:v>
                </c:pt>
                <c:pt idx="3">
                  <c:v>2024</c:v>
                </c:pt>
                <c:pt idx="4">
                  <c:v>2025</c:v>
                </c:pt>
              </c:strCache>
            </c:strRef>
          </c:cat>
          <c:val>
            <c:numRef>
              <c:f>'Pivot table'!$W$4:$W$9</c:f>
              <c:numCache>
                <c:formatCode>General</c:formatCode>
                <c:ptCount val="5"/>
                <c:pt idx="0">
                  <c:v>728810.9299999997</c:v>
                </c:pt>
                <c:pt idx="1">
                  <c:v>668703.28999999946</c:v>
                </c:pt>
                <c:pt idx="2">
                  <c:v>726230.48000000033</c:v>
                </c:pt>
                <c:pt idx="3">
                  <c:v>842165.61</c:v>
                </c:pt>
                <c:pt idx="4">
                  <c:v>577677.12999999966</c:v>
                </c:pt>
              </c:numCache>
            </c:numRef>
          </c:val>
          <c:extLst>
            <c:ext xmlns:c16="http://schemas.microsoft.com/office/drawing/2014/chart" uri="{C3380CC4-5D6E-409C-BE32-E72D297353CC}">
              <c16:uniqueId val="{00000000-2D93-42E3-BAF0-141FE5B260E5}"/>
            </c:ext>
          </c:extLst>
        </c:ser>
        <c:dLbls>
          <c:dLblPos val="inEnd"/>
          <c:showLegendKey val="0"/>
          <c:showVal val="1"/>
          <c:showCatName val="0"/>
          <c:showSerName val="0"/>
          <c:showPercent val="0"/>
          <c:showBubbleSize val="0"/>
        </c:dLbls>
        <c:gapWidth val="41"/>
        <c:axId val="1204738528"/>
        <c:axId val="1204734208"/>
      </c:barChart>
      <c:catAx>
        <c:axId val="12047385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effectLst/>
                <a:latin typeface="+mn-lt"/>
                <a:ea typeface="+mn-ea"/>
                <a:cs typeface="+mn-cs"/>
              </a:defRPr>
            </a:pPr>
            <a:endParaRPr lang="en-US"/>
          </a:p>
        </c:txPr>
        <c:crossAx val="1204734208"/>
        <c:crosses val="autoZero"/>
        <c:auto val="1"/>
        <c:lblAlgn val="ctr"/>
        <c:lblOffset val="100"/>
        <c:noMultiLvlLbl val="0"/>
      </c:catAx>
      <c:valAx>
        <c:axId val="1204734208"/>
        <c:scaling>
          <c:orientation val="minMax"/>
        </c:scaling>
        <c:delete val="1"/>
        <c:axPos val="l"/>
        <c:numFmt formatCode="General" sourceLinked="1"/>
        <c:majorTickMark val="none"/>
        <c:minorTickMark val="none"/>
        <c:tickLblPos val="nextTo"/>
        <c:crossAx val="1204738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Dashboard.xlsx]Pivot table!PivotTable1</c:name>
    <c:fmtId val="21"/>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table'!$AC$3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table'!$AB$4:$AB$16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table'!$AC$4:$AC$16</c:f>
              <c:numCache>
                <c:formatCode>General</c:formatCode>
                <c:ptCount val="12"/>
                <c:pt idx="0">
                  <c:v>328708.32</c:v>
                </c:pt>
                <c:pt idx="1">
                  <c:v>216183.97000000006</c:v>
                </c:pt>
                <c:pt idx="2">
                  <c:v>334842.38000000012</c:v>
                </c:pt>
                <c:pt idx="3">
                  <c:v>230188.89999999997</c:v>
                </c:pt>
                <c:pt idx="4">
                  <c:v>322688.07</c:v>
                </c:pt>
                <c:pt idx="5">
                  <c:v>253064.33999999997</c:v>
                </c:pt>
                <c:pt idx="6">
                  <c:v>308276.67</c:v>
                </c:pt>
                <c:pt idx="7">
                  <c:v>284907.32000000007</c:v>
                </c:pt>
                <c:pt idx="8">
                  <c:v>216657.79000000012</c:v>
                </c:pt>
                <c:pt idx="9">
                  <c:v>435322.08999999979</c:v>
                </c:pt>
                <c:pt idx="10">
                  <c:v>318186.08000000013</c:v>
                </c:pt>
                <c:pt idx="11">
                  <c:v>294561.51000000013</c:v>
                </c:pt>
              </c:numCache>
            </c:numRef>
          </c:val>
          <c:smooth val="0"/>
          <c:extLst>
            <c:ext xmlns:c16="http://schemas.microsoft.com/office/drawing/2014/chart" uri="{C3380CC4-5D6E-409C-BE32-E72D297353CC}">
              <c16:uniqueId val="{00000000-19B1-488E-BA19-676D76D809B9}"/>
            </c:ext>
          </c:extLst>
        </c:ser>
        <c:dLbls>
          <c:dLblPos val="t"/>
          <c:showLegendKey val="0"/>
          <c:showVal val="1"/>
          <c:showCatName val="0"/>
          <c:showSerName val="0"/>
          <c:showPercent val="0"/>
          <c:showBubbleSize val="0"/>
        </c:dLbls>
        <c:smooth val="0"/>
        <c:axId val="978966536"/>
        <c:axId val="978967616"/>
      </c:lineChart>
      <c:catAx>
        <c:axId val="978966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78967616"/>
        <c:crosses val="autoZero"/>
        <c:auto val="1"/>
        <c:lblAlgn val="ctr"/>
        <c:lblOffset val="100"/>
        <c:noMultiLvlLbl val="0"/>
      </c:catAx>
      <c:valAx>
        <c:axId val="9789676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78966536"/>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12700" cap="flat" cmpd="sng" algn="ctr">
      <a:noFill/>
      <a:prstDash val="solid"/>
      <a:miter lim="800000"/>
    </a:ln>
    <a:effectLst/>
  </c:spPr>
  <c:txPr>
    <a:bodyPr/>
    <a:lstStyle/>
    <a:p>
      <a:pPr>
        <a:defRPr>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6.svg"/><Relationship Id="rId3" Type="http://schemas.openxmlformats.org/officeDocument/2006/relationships/image" Target="../media/image3.png"/><Relationship Id="rId7" Type="http://schemas.openxmlformats.org/officeDocument/2006/relationships/image" Target="../media/image5.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7.xml"/><Relationship Id="rId11" Type="http://schemas.openxmlformats.org/officeDocument/2006/relationships/image" Target="../media/image8.svg"/><Relationship Id="rId5" Type="http://schemas.openxmlformats.org/officeDocument/2006/relationships/chart" Target="../charts/chart6.xml"/><Relationship Id="rId10" Type="http://schemas.openxmlformats.org/officeDocument/2006/relationships/image" Target="../media/image7.png"/><Relationship Id="rId4" Type="http://schemas.openxmlformats.org/officeDocument/2006/relationships/image" Target="../media/image4.svg"/><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chart" Target="../charts/chart9.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9.svg"/></Relationships>
</file>

<file path=xl/drawings/drawing1.xml><?xml version="1.0" encoding="utf-8"?>
<xdr:wsDr xmlns:xdr="http://schemas.openxmlformats.org/drawingml/2006/spreadsheetDrawing" xmlns:a="http://schemas.openxmlformats.org/drawingml/2006/main">
  <xdr:twoCellAnchor editAs="oneCell">
    <xdr:from>
      <xdr:col>0</xdr:col>
      <xdr:colOff>82550</xdr:colOff>
      <xdr:row>6</xdr:row>
      <xdr:rowOff>6351</xdr:rowOff>
    </xdr:from>
    <xdr:to>
      <xdr:col>1</xdr:col>
      <xdr:colOff>457200</xdr:colOff>
      <xdr:row>12</xdr:row>
      <xdr:rowOff>114301</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22CDBBB3-F380-0DC8-E9EB-C8D71F24052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2550" y="1111251"/>
              <a:ext cx="1828800" cy="1212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95250</xdr:colOff>
      <xdr:row>13</xdr:row>
      <xdr:rowOff>6350</xdr:rowOff>
    </xdr:from>
    <xdr:to>
      <xdr:col>3</xdr:col>
      <xdr:colOff>755650</xdr:colOff>
      <xdr:row>20</xdr:row>
      <xdr:rowOff>88900</xdr:rowOff>
    </xdr:to>
    <mc:AlternateContent xmlns:mc="http://schemas.openxmlformats.org/markup-compatibility/2006" xmlns:tsle="http://schemas.microsoft.com/office/drawing/2012/timeslicer">
      <mc:Choice Requires="tsle">
        <xdr:graphicFrame macro="">
          <xdr:nvGraphicFramePr>
            <xdr:cNvPr id="3" name="Date">
              <a:extLst>
                <a:ext uri="{FF2B5EF4-FFF2-40B4-BE49-F238E27FC236}">
                  <a16:creationId xmlns:a16="http://schemas.microsoft.com/office/drawing/2014/main" id="{4E668BA3-A799-C2BB-2AC5-F60F6FBCF21A}"/>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95250" y="2400300"/>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xdr:col>
      <xdr:colOff>114300</xdr:colOff>
      <xdr:row>4</xdr:row>
      <xdr:rowOff>44451</xdr:rowOff>
    </xdr:from>
    <xdr:to>
      <xdr:col>4</xdr:col>
      <xdr:colOff>342900</xdr:colOff>
      <xdr:row>12</xdr:row>
      <xdr:rowOff>50801</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244A2379-CEC9-3AF2-626D-A050AD7D62B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178050" y="781051"/>
              <a:ext cx="1828800" cy="1479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406400</xdr:colOff>
      <xdr:row>8</xdr:row>
      <xdr:rowOff>38100</xdr:rowOff>
    </xdr:from>
    <xdr:to>
      <xdr:col>9</xdr:col>
      <xdr:colOff>50800</xdr:colOff>
      <xdr:row>17</xdr:row>
      <xdr:rowOff>38100</xdr:rowOff>
    </xdr:to>
    <xdr:graphicFrame macro="">
      <xdr:nvGraphicFramePr>
        <xdr:cNvPr id="5" name="Chart 4">
          <a:extLst>
            <a:ext uri="{FF2B5EF4-FFF2-40B4-BE49-F238E27FC236}">
              <a16:creationId xmlns:a16="http://schemas.microsoft.com/office/drawing/2014/main" id="{3F8EAF7C-4C57-E4B2-14B7-17FB740A19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149225</xdr:colOff>
      <xdr:row>7</xdr:row>
      <xdr:rowOff>107950</xdr:rowOff>
    </xdr:from>
    <xdr:to>
      <xdr:col>12</xdr:col>
      <xdr:colOff>457200</xdr:colOff>
      <xdr:row>19</xdr:row>
      <xdr:rowOff>76200</xdr:rowOff>
    </xdr:to>
    <xdr:graphicFrame macro="">
      <xdr:nvGraphicFramePr>
        <xdr:cNvPr id="7" name="Chart 6">
          <a:extLst>
            <a:ext uri="{FF2B5EF4-FFF2-40B4-BE49-F238E27FC236}">
              <a16:creationId xmlns:a16="http://schemas.microsoft.com/office/drawing/2014/main" id="{404AA45E-4ABA-15B0-3E46-7A771CE8E8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76200</xdr:colOff>
      <xdr:row>13</xdr:row>
      <xdr:rowOff>101600</xdr:rowOff>
    </xdr:from>
    <xdr:to>
      <xdr:col>22</xdr:col>
      <xdr:colOff>514350</xdr:colOff>
      <xdr:row>28</xdr:row>
      <xdr:rowOff>82550</xdr:rowOff>
    </xdr:to>
    <xdr:graphicFrame macro="">
      <xdr:nvGraphicFramePr>
        <xdr:cNvPr id="8" name="Chart 7">
          <a:extLst>
            <a:ext uri="{FF2B5EF4-FFF2-40B4-BE49-F238E27FC236}">
              <a16:creationId xmlns:a16="http://schemas.microsoft.com/office/drawing/2014/main" id="{4BA0476E-58AE-CFD7-6E73-D7A695A7CB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355600</xdr:colOff>
      <xdr:row>10</xdr:row>
      <xdr:rowOff>95250</xdr:rowOff>
    </xdr:from>
    <xdr:to>
      <xdr:col>24</xdr:col>
      <xdr:colOff>501650</xdr:colOff>
      <xdr:row>25</xdr:row>
      <xdr:rowOff>76200</xdr:rowOff>
    </xdr:to>
    <xdr:graphicFrame macro="">
      <xdr:nvGraphicFramePr>
        <xdr:cNvPr id="9" name="Chart 8">
          <a:extLst>
            <a:ext uri="{FF2B5EF4-FFF2-40B4-BE49-F238E27FC236}">
              <a16:creationId xmlns:a16="http://schemas.microsoft.com/office/drawing/2014/main" id="{42E28BE7-E8E3-FB59-2E56-9E00425256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1257300</xdr:colOff>
      <xdr:row>3</xdr:row>
      <xdr:rowOff>146051</xdr:rowOff>
    </xdr:from>
    <xdr:to>
      <xdr:col>15</xdr:col>
      <xdr:colOff>425450</xdr:colOff>
      <xdr:row>13</xdr:row>
      <xdr:rowOff>1</xdr:rowOff>
    </xdr:to>
    <mc:AlternateContent xmlns:mc="http://schemas.openxmlformats.org/markup-compatibility/2006" xmlns:a14="http://schemas.microsoft.com/office/drawing/2010/main">
      <mc:Choice Requires="a14">
        <xdr:graphicFrame macro="">
          <xdr:nvGraphicFramePr>
            <xdr:cNvPr id="10" name="Channel">
              <a:extLst>
                <a:ext uri="{FF2B5EF4-FFF2-40B4-BE49-F238E27FC236}">
                  <a16:creationId xmlns:a16="http://schemas.microsoft.com/office/drawing/2014/main" id="{034CC0F7-CBF8-B84D-396E-EE13AEEFC55D}"/>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11969750" y="698501"/>
              <a:ext cx="1828800" cy="1695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26</xdr:col>
      <xdr:colOff>114300</xdr:colOff>
      <xdr:row>8</xdr:row>
      <xdr:rowOff>0</xdr:rowOff>
    </xdr:from>
    <xdr:to>
      <xdr:col>32</xdr:col>
      <xdr:colOff>165100</xdr:colOff>
      <xdr:row>22</xdr:row>
      <xdr:rowOff>165100</xdr:rowOff>
    </xdr:to>
    <xdr:graphicFrame macro="">
      <xdr:nvGraphicFramePr>
        <xdr:cNvPr id="6" name="Chart 5">
          <a:extLst>
            <a:ext uri="{FF2B5EF4-FFF2-40B4-BE49-F238E27FC236}">
              <a16:creationId xmlns:a16="http://schemas.microsoft.com/office/drawing/2014/main" id="{872E6A58-75C3-7819-48FB-E3EC910274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6350</xdr:colOff>
      <xdr:row>0</xdr:row>
      <xdr:rowOff>38100</xdr:rowOff>
    </xdr:from>
    <xdr:to>
      <xdr:col>21</xdr:col>
      <xdr:colOff>120650</xdr:colOff>
      <xdr:row>30</xdr:row>
      <xdr:rowOff>39075</xdr:rowOff>
    </xdr:to>
    <xdr:sp macro="" textlink="">
      <xdr:nvSpPr>
        <xdr:cNvPr id="2" name="Rectangle 1">
          <a:extLst>
            <a:ext uri="{FF2B5EF4-FFF2-40B4-BE49-F238E27FC236}">
              <a16:creationId xmlns:a16="http://schemas.microsoft.com/office/drawing/2014/main" id="{81AFC994-4F0F-1468-49D1-01B7A832C316}"/>
            </a:ext>
          </a:extLst>
        </xdr:cNvPr>
        <xdr:cNvSpPr/>
      </xdr:nvSpPr>
      <xdr:spPr>
        <a:xfrm>
          <a:off x="6350" y="38100"/>
          <a:ext cx="12833838" cy="5569437"/>
        </a:xfrm>
        <a:prstGeom prst="rect">
          <a:avLst/>
        </a:prstGeom>
        <a:solidFill>
          <a:srgbClr val="002060"/>
        </a:solidFill>
        <a:ln>
          <a:noFill/>
        </a:ln>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302846</xdr:colOff>
      <xdr:row>0</xdr:row>
      <xdr:rowOff>146538</xdr:rowOff>
    </xdr:from>
    <xdr:to>
      <xdr:col>20</xdr:col>
      <xdr:colOff>449385</xdr:colOff>
      <xdr:row>3</xdr:row>
      <xdr:rowOff>127000</xdr:rowOff>
    </xdr:to>
    <xdr:sp macro="" textlink="">
      <xdr:nvSpPr>
        <xdr:cNvPr id="3" name="Rectangle: Rounded Corners 2">
          <a:extLst>
            <a:ext uri="{FF2B5EF4-FFF2-40B4-BE49-F238E27FC236}">
              <a16:creationId xmlns:a16="http://schemas.microsoft.com/office/drawing/2014/main" id="{5DC1C0DD-E89D-432E-2982-4A6DC9438D70}"/>
            </a:ext>
          </a:extLst>
        </xdr:cNvPr>
        <xdr:cNvSpPr/>
      </xdr:nvSpPr>
      <xdr:spPr>
        <a:xfrm>
          <a:off x="302846" y="146538"/>
          <a:ext cx="12260385" cy="53730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bg1"/>
              </a:solidFill>
            </a:rPr>
            <a:t>Sales Dashboard</a:t>
          </a:r>
        </a:p>
      </xdr:txBody>
    </xdr:sp>
    <xdr:clientData/>
  </xdr:twoCellAnchor>
  <xdr:twoCellAnchor>
    <xdr:from>
      <xdr:col>0</xdr:col>
      <xdr:colOff>341923</xdr:colOff>
      <xdr:row>3</xdr:row>
      <xdr:rowOff>127002</xdr:rowOff>
    </xdr:from>
    <xdr:to>
      <xdr:col>20</xdr:col>
      <xdr:colOff>48846</xdr:colOff>
      <xdr:row>3</xdr:row>
      <xdr:rowOff>166079</xdr:rowOff>
    </xdr:to>
    <xdr:cxnSp macro="">
      <xdr:nvCxnSpPr>
        <xdr:cNvPr id="6" name="Straight Connector 5">
          <a:extLst>
            <a:ext uri="{FF2B5EF4-FFF2-40B4-BE49-F238E27FC236}">
              <a16:creationId xmlns:a16="http://schemas.microsoft.com/office/drawing/2014/main" id="{457DF9FA-EE29-5E11-D042-32E61F896B23}"/>
            </a:ext>
          </a:extLst>
        </xdr:cNvPr>
        <xdr:cNvCxnSpPr/>
      </xdr:nvCxnSpPr>
      <xdr:spPr>
        <a:xfrm flipV="1">
          <a:off x="341923" y="683848"/>
          <a:ext cx="11820769" cy="39077"/>
        </a:xfrm>
        <a:prstGeom prst="line">
          <a:avLst/>
        </a:prstGeom>
      </xdr:spPr>
      <xdr:style>
        <a:lnRef idx="3">
          <a:schemeClr val="accent1"/>
        </a:lnRef>
        <a:fillRef idx="0">
          <a:schemeClr val="accent1"/>
        </a:fillRef>
        <a:effectRef idx="2">
          <a:schemeClr val="accent1"/>
        </a:effectRef>
        <a:fontRef idx="minor">
          <a:schemeClr val="tx1"/>
        </a:fontRef>
      </xdr:style>
    </xdr:cxnSp>
    <xdr:clientData/>
  </xdr:twoCellAnchor>
  <xdr:twoCellAnchor editAs="oneCell">
    <xdr:from>
      <xdr:col>3</xdr:col>
      <xdr:colOff>566615</xdr:colOff>
      <xdr:row>4</xdr:row>
      <xdr:rowOff>78154</xdr:rowOff>
    </xdr:from>
    <xdr:to>
      <xdr:col>6</xdr:col>
      <xdr:colOff>273539</xdr:colOff>
      <xdr:row>10</xdr:row>
      <xdr:rowOff>177312</xdr:rowOff>
    </xdr:to>
    <mc:AlternateContent xmlns:mc="http://schemas.openxmlformats.org/markup-compatibility/2006" xmlns:a14="http://schemas.microsoft.com/office/drawing/2010/main">
      <mc:Choice Requires="a14">
        <xdr:graphicFrame macro="">
          <xdr:nvGraphicFramePr>
            <xdr:cNvPr id="8" name="Category 1">
              <a:extLst>
                <a:ext uri="{FF2B5EF4-FFF2-40B4-BE49-F238E27FC236}">
                  <a16:creationId xmlns:a16="http://schemas.microsoft.com/office/drawing/2014/main" id="{DDE719A1-BDD9-4FF3-8970-9DC51942800C}"/>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2397394" y="803868"/>
              <a:ext cx="1537703" cy="11877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351692</xdr:colOff>
      <xdr:row>4</xdr:row>
      <xdr:rowOff>68384</xdr:rowOff>
    </xdr:from>
    <xdr:to>
      <xdr:col>3</xdr:col>
      <xdr:colOff>363415</xdr:colOff>
      <xdr:row>12</xdr:row>
      <xdr:rowOff>63011</xdr:rowOff>
    </xdr:to>
    <mc:AlternateContent xmlns:mc="http://schemas.openxmlformats.org/markup-compatibility/2006" xmlns:a14="http://schemas.microsoft.com/office/drawing/2010/main">
      <mc:Choice Requires="a14">
        <xdr:graphicFrame macro="">
          <xdr:nvGraphicFramePr>
            <xdr:cNvPr id="9" name="Region 1">
              <a:extLst>
                <a:ext uri="{FF2B5EF4-FFF2-40B4-BE49-F238E27FC236}">
                  <a16:creationId xmlns:a16="http://schemas.microsoft.com/office/drawing/2014/main" id="{86C81C08-9CF5-4D4E-A92F-B22AE4EE4D8A}"/>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351692" y="794098"/>
              <a:ext cx="1842502" cy="14460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302848</xdr:colOff>
      <xdr:row>4</xdr:row>
      <xdr:rowOff>58615</xdr:rowOff>
    </xdr:from>
    <xdr:to>
      <xdr:col>17</xdr:col>
      <xdr:colOff>412338</xdr:colOff>
      <xdr:row>14</xdr:row>
      <xdr:rowOff>74221</xdr:rowOff>
    </xdr:to>
    <mc:AlternateContent xmlns:mc="http://schemas.openxmlformats.org/markup-compatibility/2006" xmlns:tsle="http://schemas.microsoft.com/office/drawing/2012/timeslicer">
      <mc:Choice Requires="tsle">
        <xdr:graphicFrame macro="">
          <xdr:nvGraphicFramePr>
            <xdr:cNvPr id="10" name="Date 1">
              <a:extLst>
                <a:ext uri="{FF2B5EF4-FFF2-40B4-BE49-F238E27FC236}">
                  <a16:creationId xmlns:a16="http://schemas.microsoft.com/office/drawing/2014/main" id="{3F752DA3-AC05-44E2-9772-025F4EB70227}"/>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8846484" y="784329"/>
              <a:ext cx="1940270" cy="1829892"/>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7</xdr:col>
      <xdr:colOff>39077</xdr:colOff>
      <xdr:row>4</xdr:row>
      <xdr:rowOff>127000</xdr:rowOff>
    </xdr:from>
    <xdr:to>
      <xdr:col>10</xdr:col>
      <xdr:colOff>332154</xdr:colOff>
      <xdr:row>9</xdr:row>
      <xdr:rowOff>175847</xdr:rowOff>
    </xdr:to>
    <xdr:sp macro="" textlink="">
      <xdr:nvSpPr>
        <xdr:cNvPr id="11" name="Rectangle: Rounded Corners 10">
          <a:extLst>
            <a:ext uri="{FF2B5EF4-FFF2-40B4-BE49-F238E27FC236}">
              <a16:creationId xmlns:a16="http://schemas.microsoft.com/office/drawing/2014/main" id="{D2E5C0D0-88D7-E81F-EC3D-4C40E7BD9525}"/>
            </a:ext>
          </a:extLst>
        </xdr:cNvPr>
        <xdr:cNvSpPr/>
      </xdr:nvSpPr>
      <xdr:spPr>
        <a:xfrm>
          <a:off x="4278923" y="869462"/>
          <a:ext cx="2110154" cy="97692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200">
              <a:latin typeface="+mn-lt"/>
              <a:cs typeface="Times New Roman" panose="02020603050405020304" pitchFamily="18" charset="0"/>
            </a:rPr>
            <a:t>Total Revenue</a:t>
          </a:r>
        </a:p>
      </xdr:txBody>
    </xdr:sp>
    <xdr:clientData/>
  </xdr:twoCellAnchor>
  <xdr:twoCellAnchor editAs="oneCell">
    <xdr:from>
      <xdr:col>7</xdr:col>
      <xdr:colOff>97692</xdr:colOff>
      <xdr:row>5</xdr:row>
      <xdr:rowOff>78154</xdr:rowOff>
    </xdr:from>
    <xdr:to>
      <xdr:col>7</xdr:col>
      <xdr:colOff>595923</xdr:colOff>
      <xdr:row>8</xdr:row>
      <xdr:rowOff>113322</xdr:rowOff>
    </xdr:to>
    <xdr:pic>
      <xdr:nvPicPr>
        <xdr:cNvPr id="13" name="Graphic 12" descr="Money">
          <a:extLst>
            <a:ext uri="{FF2B5EF4-FFF2-40B4-BE49-F238E27FC236}">
              <a16:creationId xmlns:a16="http://schemas.microsoft.com/office/drawing/2014/main" id="{1A07022E-3147-98FE-3499-A2FF0923F26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337538" y="1006231"/>
          <a:ext cx="498231" cy="592014"/>
        </a:xfrm>
        <a:prstGeom prst="rect">
          <a:avLst/>
        </a:prstGeom>
      </xdr:spPr>
    </xdr:pic>
    <xdr:clientData/>
  </xdr:twoCellAnchor>
  <xdr:twoCellAnchor>
    <xdr:from>
      <xdr:col>10</xdr:col>
      <xdr:colOff>406400</xdr:colOff>
      <xdr:row>4</xdr:row>
      <xdr:rowOff>117599</xdr:rowOff>
    </xdr:from>
    <xdr:to>
      <xdr:col>14</xdr:col>
      <xdr:colOff>93785</xdr:colOff>
      <xdr:row>9</xdr:row>
      <xdr:rowOff>166446</xdr:rowOff>
    </xdr:to>
    <xdr:sp macro="" textlink="">
      <xdr:nvSpPr>
        <xdr:cNvPr id="16" name="Rectangle: Rounded Corners 15">
          <a:extLst>
            <a:ext uri="{FF2B5EF4-FFF2-40B4-BE49-F238E27FC236}">
              <a16:creationId xmlns:a16="http://schemas.microsoft.com/office/drawing/2014/main" id="{DAA11322-1645-4832-8322-46FE3AF4872F}"/>
            </a:ext>
          </a:extLst>
        </xdr:cNvPr>
        <xdr:cNvSpPr/>
      </xdr:nvSpPr>
      <xdr:spPr>
        <a:xfrm>
          <a:off x="6518275" y="847849"/>
          <a:ext cx="2132135" cy="9616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100"/>
            <a:t>Total Orders</a:t>
          </a:r>
        </a:p>
      </xdr:txBody>
    </xdr:sp>
    <xdr:clientData/>
  </xdr:twoCellAnchor>
  <xdr:twoCellAnchor editAs="oneCell">
    <xdr:from>
      <xdr:col>10</xdr:col>
      <xdr:colOff>547077</xdr:colOff>
      <xdr:row>5</xdr:row>
      <xdr:rowOff>58616</xdr:rowOff>
    </xdr:from>
    <xdr:to>
      <xdr:col>11</xdr:col>
      <xdr:colOff>517323</xdr:colOff>
      <xdr:row>8</xdr:row>
      <xdr:rowOff>77708</xdr:rowOff>
    </xdr:to>
    <xdr:pic>
      <xdr:nvPicPr>
        <xdr:cNvPr id="15" name="Graphic 14" descr="Shopping bag">
          <a:extLst>
            <a:ext uri="{FF2B5EF4-FFF2-40B4-BE49-F238E27FC236}">
              <a16:creationId xmlns:a16="http://schemas.microsoft.com/office/drawing/2014/main" id="{06D5A060-0216-FF36-7889-19C67B01352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604000" y="986693"/>
          <a:ext cx="575938" cy="575938"/>
        </a:xfrm>
        <a:prstGeom prst="rect">
          <a:avLst/>
        </a:prstGeom>
      </xdr:spPr>
    </xdr:pic>
    <xdr:clientData/>
  </xdr:twoCellAnchor>
  <xdr:twoCellAnchor>
    <xdr:from>
      <xdr:col>7</xdr:col>
      <xdr:colOff>50801</xdr:colOff>
      <xdr:row>10</xdr:row>
      <xdr:rowOff>80107</xdr:rowOff>
    </xdr:from>
    <xdr:to>
      <xdr:col>10</xdr:col>
      <xdr:colOff>343878</xdr:colOff>
      <xdr:row>15</xdr:row>
      <xdr:rowOff>128953</xdr:rowOff>
    </xdr:to>
    <xdr:sp macro="" textlink="">
      <xdr:nvSpPr>
        <xdr:cNvPr id="17" name="Rectangle: Rounded Corners 16">
          <a:extLst>
            <a:ext uri="{FF2B5EF4-FFF2-40B4-BE49-F238E27FC236}">
              <a16:creationId xmlns:a16="http://schemas.microsoft.com/office/drawing/2014/main" id="{3F8552BF-D9A2-4F73-807C-7B5749990F31}"/>
            </a:ext>
          </a:extLst>
        </xdr:cNvPr>
        <xdr:cNvSpPr/>
      </xdr:nvSpPr>
      <xdr:spPr>
        <a:xfrm>
          <a:off x="4290647" y="1936261"/>
          <a:ext cx="2110154" cy="97692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100"/>
            <a:t>Total Quatity</a:t>
          </a:r>
        </a:p>
      </xdr:txBody>
    </xdr:sp>
    <xdr:clientData/>
  </xdr:twoCellAnchor>
  <xdr:twoCellAnchor>
    <xdr:from>
      <xdr:col>10</xdr:col>
      <xdr:colOff>431312</xdr:colOff>
      <xdr:row>10</xdr:row>
      <xdr:rowOff>70462</xdr:rowOff>
    </xdr:from>
    <xdr:to>
      <xdr:col>14</xdr:col>
      <xdr:colOff>118697</xdr:colOff>
      <xdr:row>15</xdr:row>
      <xdr:rowOff>119308</xdr:rowOff>
    </xdr:to>
    <xdr:sp macro="" textlink="">
      <xdr:nvSpPr>
        <xdr:cNvPr id="19" name="Rectangle: Rounded Corners 18">
          <a:extLst>
            <a:ext uri="{FF2B5EF4-FFF2-40B4-BE49-F238E27FC236}">
              <a16:creationId xmlns:a16="http://schemas.microsoft.com/office/drawing/2014/main" id="{1D8DFE13-2024-41FA-8492-9697FDE8BCCD}"/>
            </a:ext>
          </a:extLst>
        </xdr:cNvPr>
        <xdr:cNvSpPr/>
      </xdr:nvSpPr>
      <xdr:spPr>
        <a:xfrm>
          <a:off x="6543187" y="1896087"/>
          <a:ext cx="2132135" cy="96165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100"/>
            <a:t>Total Returns</a:t>
          </a:r>
        </a:p>
      </xdr:txBody>
    </xdr:sp>
    <xdr:clientData/>
  </xdr:twoCellAnchor>
  <xdr:twoCellAnchor>
    <xdr:from>
      <xdr:col>7</xdr:col>
      <xdr:colOff>576385</xdr:colOff>
      <xdr:row>5</xdr:row>
      <xdr:rowOff>156306</xdr:rowOff>
    </xdr:from>
    <xdr:to>
      <xdr:col>10</xdr:col>
      <xdr:colOff>332154</xdr:colOff>
      <xdr:row>9</xdr:row>
      <xdr:rowOff>19538</xdr:rowOff>
    </xdr:to>
    <xdr:sp macro="" textlink="'Pivot table'!$E$4">
      <xdr:nvSpPr>
        <xdr:cNvPr id="20" name="TextBox 19">
          <a:extLst>
            <a:ext uri="{FF2B5EF4-FFF2-40B4-BE49-F238E27FC236}">
              <a16:creationId xmlns:a16="http://schemas.microsoft.com/office/drawing/2014/main" id="{FD147704-016F-07D5-0A64-74AEF1DCE15E}"/>
            </a:ext>
          </a:extLst>
        </xdr:cNvPr>
        <xdr:cNvSpPr txBox="1"/>
      </xdr:nvSpPr>
      <xdr:spPr>
        <a:xfrm>
          <a:off x="4816231" y="1084383"/>
          <a:ext cx="1572846" cy="605693"/>
        </a:xfrm>
        <a:prstGeom prst="rect">
          <a:avLst/>
        </a:prstGeom>
        <a:no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t"/>
        <a:lstStyle/>
        <a:p>
          <a:fld id="{1519DB29-1C8E-4916-A7F4-818679E392D0}" type="TxLink">
            <a:rPr lang="en-US" sz="1800" b="1" i="0" u="none" strike="noStrike">
              <a:solidFill>
                <a:schemeClr val="bg1"/>
              </a:solidFill>
              <a:latin typeface="Calibri"/>
              <a:ea typeface="Calibri"/>
              <a:cs typeface="Calibri"/>
            </a:rPr>
            <a:pPr/>
            <a:t> $3,543,587.44 </a:t>
          </a:fld>
          <a:endParaRPr lang="en-US" sz="1800" b="1">
            <a:solidFill>
              <a:schemeClr val="bg1"/>
            </a:solidFill>
          </a:endParaRPr>
        </a:p>
      </xdr:txBody>
    </xdr:sp>
    <xdr:clientData/>
  </xdr:twoCellAnchor>
  <xdr:twoCellAnchor>
    <xdr:from>
      <xdr:col>11</xdr:col>
      <xdr:colOff>347786</xdr:colOff>
      <xdr:row>5</xdr:row>
      <xdr:rowOff>74245</xdr:rowOff>
    </xdr:from>
    <xdr:to>
      <xdr:col>14</xdr:col>
      <xdr:colOff>103555</xdr:colOff>
      <xdr:row>8</xdr:row>
      <xdr:rowOff>123092</xdr:rowOff>
    </xdr:to>
    <xdr:sp macro="" textlink="'Pivot table'!B4">
      <xdr:nvSpPr>
        <xdr:cNvPr id="21" name="TextBox 20">
          <a:extLst>
            <a:ext uri="{FF2B5EF4-FFF2-40B4-BE49-F238E27FC236}">
              <a16:creationId xmlns:a16="http://schemas.microsoft.com/office/drawing/2014/main" id="{19488463-A90C-482B-98E1-3493F6794BBF}"/>
            </a:ext>
          </a:extLst>
        </xdr:cNvPr>
        <xdr:cNvSpPr txBox="1"/>
      </xdr:nvSpPr>
      <xdr:spPr>
        <a:xfrm>
          <a:off x="7010401" y="1002322"/>
          <a:ext cx="1572846" cy="605693"/>
        </a:xfrm>
        <a:prstGeom prst="rect">
          <a:avLst/>
        </a:prstGeom>
        <a:no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ctr"/>
        <a:lstStyle/>
        <a:p>
          <a:pPr marL="0" indent="0" algn="ctr"/>
          <a:fld id="{59B7D513-0B10-4E5B-80C4-4E039AFEE406}" type="TxLink">
            <a:rPr lang="en-US" sz="1800" b="1" i="0" u="none" strike="noStrike">
              <a:solidFill>
                <a:schemeClr val="bg1"/>
              </a:solidFill>
              <a:latin typeface="Calibri"/>
              <a:ea typeface="Calibri"/>
              <a:cs typeface="Calibri"/>
            </a:rPr>
            <a:pPr marL="0" indent="0" algn="ctr"/>
            <a:t>1002</a:t>
          </a:fld>
          <a:endParaRPr lang="en-US" sz="1800" b="1" i="0" u="none" strike="noStrike">
            <a:solidFill>
              <a:schemeClr val="bg1"/>
            </a:solidFill>
            <a:latin typeface="Calibri"/>
            <a:ea typeface="Calibri"/>
            <a:cs typeface="Calibri"/>
          </a:endParaRPr>
        </a:p>
      </xdr:txBody>
    </xdr:sp>
    <xdr:clientData/>
  </xdr:twoCellAnchor>
  <xdr:twoCellAnchor>
    <xdr:from>
      <xdr:col>0</xdr:col>
      <xdr:colOff>293076</xdr:colOff>
      <xdr:row>13</xdr:row>
      <xdr:rowOff>58615</xdr:rowOff>
    </xdr:from>
    <xdr:to>
      <xdr:col>6</xdr:col>
      <xdr:colOff>586154</xdr:colOff>
      <xdr:row>28</xdr:row>
      <xdr:rowOff>175846</xdr:rowOff>
    </xdr:to>
    <xdr:graphicFrame macro="">
      <xdr:nvGraphicFramePr>
        <xdr:cNvPr id="22" name="Chart 21">
          <a:extLst>
            <a:ext uri="{FF2B5EF4-FFF2-40B4-BE49-F238E27FC236}">
              <a16:creationId xmlns:a16="http://schemas.microsoft.com/office/drawing/2014/main" id="{EB2A2CFE-CA21-417A-A93F-253E45CE91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125211</xdr:colOff>
      <xdr:row>16</xdr:row>
      <xdr:rowOff>152043</xdr:rowOff>
    </xdr:from>
    <xdr:to>
      <xdr:col>12</xdr:col>
      <xdr:colOff>414941</xdr:colOff>
      <xdr:row>28</xdr:row>
      <xdr:rowOff>76290</xdr:rowOff>
    </xdr:to>
    <xdr:graphicFrame macro="">
      <xdr:nvGraphicFramePr>
        <xdr:cNvPr id="23" name="Chart 22">
          <a:extLst>
            <a:ext uri="{FF2B5EF4-FFF2-40B4-BE49-F238E27FC236}">
              <a16:creationId xmlns:a16="http://schemas.microsoft.com/office/drawing/2014/main" id="{06550BF2-9AD6-4EC4-B24E-F82DAA9B66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7</xdr:col>
      <xdr:colOff>26831</xdr:colOff>
      <xdr:row>11</xdr:row>
      <xdr:rowOff>0</xdr:rowOff>
    </xdr:from>
    <xdr:to>
      <xdr:col>8</xdr:col>
      <xdr:colOff>64752</xdr:colOff>
      <xdr:row>13</xdr:row>
      <xdr:rowOff>169929</xdr:rowOff>
    </xdr:to>
    <xdr:pic>
      <xdr:nvPicPr>
        <xdr:cNvPr id="25" name="Graphic 24" descr="Database">
          <a:extLst>
            <a:ext uri="{FF2B5EF4-FFF2-40B4-BE49-F238E27FC236}">
              <a16:creationId xmlns:a16="http://schemas.microsoft.com/office/drawing/2014/main" id="{06367C30-BAED-AAA6-78FE-91B84D0A8E0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284014" y="2065986"/>
          <a:ext cx="646090" cy="545563"/>
        </a:xfrm>
        <a:prstGeom prst="rect">
          <a:avLst/>
        </a:prstGeom>
      </xdr:spPr>
    </xdr:pic>
    <xdr:clientData/>
  </xdr:twoCellAnchor>
  <xdr:twoCellAnchor>
    <xdr:from>
      <xdr:col>8</xdr:col>
      <xdr:colOff>143099</xdr:colOff>
      <xdr:row>11</xdr:row>
      <xdr:rowOff>35775</xdr:rowOff>
    </xdr:from>
    <xdr:to>
      <xdr:col>10</xdr:col>
      <xdr:colOff>214648</xdr:colOff>
      <xdr:row>13</xdr:row>
      <xdr:rowOff>107324</xdr:rowOff>
    </xdr:to>
    <xdr:sp macro="" textlink="'Pivot table'!Q4">
      <xdr:nvSpPr>
        <xdr:cNvPr id="26" name="TextBox 25">
          <a:extLst>
            <a:ext uri="{FF2B5EF4-FFF2-40B4-BE49-F238E27FC236}">
              <a16:creationId xmlns:a16="http://schemas.microsoft.com/office/drawing/2014/main" id="{29810BB5-41A9-B326-A61E-CDB90BAB9FCC}"/>
            </a:ext>
          </a:extLst>
        </xdr:cNvPr>
        <xdr:cNvSpPr txBox="1"/>
      </xdr:nvSpPr>
      <xdr:spPr>
        <a:xfrm>
          <a:off x="5008451" y="2101761"/>
          <a:ext cx="1287887" cy="4471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64B6AE0-D74D-4F75-BCEB-A3857F8AF99A}" type="TxLink">
            <a:rPr lang="en-US" sz="2000" b="1" i="0" u="none" strike="noStrike">
              <a:solidFill>
                <a:schemeClr val="bg1"/>
              </a:solidFill>
              <a:latin typeface="Calibri"/>
              <a:ea typeface="Calibri"/>
              <a:cs typeface="Calibri"/>
            </a:rPr>
            <a:pPr algn="ctr"/>
            <a:t>15822</a:t>
          </a:fld>
          <a:endParaRPr lang="en-US" sz="2000" b="1">
            <a:solidFill>
              <a:schemeClr val="bg1"/>
            </a:solidFill>
          </a:endParaRPr>
        </a:p>
      </xdr:txBody>
    </xdr:sp>
    <xdr:clientData/>
  </xdr:twoCellAnchor>
  <xdr:twoCellAnchor>
    <xdr:from>
      <xdr:col>13</xdr:col>
      <xdr:colOff>375634</xdr:colOff>
      <xdr:row>14</xdr:row>
      <xdr:rowOff>143098</xdr:rowOff>
    </xdr:from>
    <xdr:to>
      <xdr:col>21</xdr:col>
      <xdr:colOff>82282</xdr:colOff>
      <xdr:row>29</xdr:row>
      <xdr:rowOff>69045</xdr:rowOff>
    </xdr:to>
    <xdr:graphicFrame macro="">
      <xdr:nvGraphicFramePr>
        <xdr:cNvPr id="27" name="Chart 26">
          <a:extLst>
            <a:ext uri="{FF2B5EF4-FFF2-40B4-BE49-F238E27FC236}">
              <a16:creationId xmlns:a16="http://schemas.microsoft.com/office/drawing/2014/main" id="{1EDB7091-631D-45C0-8324-545C755DAB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11</xdr:col>
      <xdr:colOff>-1</xdr:colOff>
      <xdr:row>10</xdr:row>
      <xdr:rowOff>182561</xdr:rowOff>
    </xdr:from>
    <xdr:to>
      <xdr:col>11</xdr:col>
      <xdr:colOff>468312</xdr:colOff>
      <xdr:row>13</xdr:row>
      <xdr:rowOff>103186</xdr:rowOff>
    </xdr:to>
    <xdr:pic>
      <xdr:nvPicPr>
        <xdr:cNvPr id="29" name="Graphic 28" descr="Arrow Horizontal U turn">
          <a:extLst>
            <a:ext uri="{FF2B5EF4-FFF2-40B4-BE49-F238E27FC236}">
              <a16:creationId xmlns:a16="http://schemas.microsoft.com/office/drawing/2014/main" id="{7CDE3ECA-7A5A-57E2-C99B-C804C328E1B8}"/>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723062" y="2008186"/>
          <a:ext cx="468313" cy="468313"/>
        </a:xfrm>
        <a:prstGeom prst="rect">
          <a:avLst/>
        </a:prstGeom>
      </xdr:spPr>
    </xdr:pic>
    <xdr:clientData/>
  </xdr:twoCellAnchor>
  <xdr:twoCellAnchor>
    <xdr:from>
      <xdr:col>11</xdr:col>
      <xdr:colOff>428513</xdr:colOff>
      <xdr:row>11</xdr:row>
      <xdr:rowOff>6260</xdr:rowOff>
    </xdr:from>
    <xdr:to>
      <xdr:col>13</xdr:col>
      <xdr:colOff>500062</xdr:colOff>
      <xdr:row>13</xdr:row>
      <xdr:rowOff>77809</xdr:rowOff>
    </xdr:to>
    <xdr:sp macro="" textlink="'Pivot table'!R9">
      <xdr:nvSpPr>
        <xdr:cNvPr id="30" name="TextBox 29">
          <a:extLst>
            <a:ext uri="{FF2B5EF4-FFF2-40B4-BE49-F238E27FC236}">
              <a16:creationId xmlns:a16="http://schemas.microsoft.com/office/drawing/2014/main" id="{B54665CB-1BB3-42A6-BC52-CADC91FA5F76}"/>
            </a:ext>
          </a:extLst>
        </xdr:cNvPr>
        <xdr:cNvSpPr txBox="1"/>
      </xdr:nvSpPr>
      <xdr:spPr>
        <a:xfrm>
          <a:off x="7151576" y="2014448"/>
          <a:ext cx="1293924" cy="4366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746BE82-5D11-4F65-B116-A4D13F05BA67}" type="TxLink">
            <a:rPr lang="en-US" sz="1800" b="1" i="0" u="none" strike="noStrike">
              <a:solidFill>
                <a:schemeClr val="bg1"/>
              </a:solidFill>
              <a:latin typeface="Calibri"/>
              <a:ea typeface="Calibri"/>
              <a:cs typeface="Calibri"/>
            </a:rPr>
            <a:pPr algn="ctr"/>
            <a:t>149</a:t>
          </a:fld>
          <a:endParaRPr lang="en-US" sz="3600" b="1">
            <a:solidFill>
              <a:schemeClr val="bg1"/>
            </a:solidFill>
          </a:endParaRPr>
        </a:p>
      </xdr:txBody>
    </xdr:sp>
    <xdr:clientData/>
  </xdr:twoCellAnchor>
  <xdr:twoCellAnchor editAs="oneCell">
    <xdr:from>
      <xdr:col>18</xdr:col>
      <xdr:colOff>8247</xdr:colOff>
      <xdr:row>4</xdr:row>
      <xdr:rowOff>65974</xdr:rowOff>
    </xdr:from>
    <xdr:to>
      <xdr:col>21</xdr:col>
      <xdr:colOff>6267</xdr:colOff>
      <xdr:row>13</xdr:row>
      <xdr:rowOff>128567</xdr:rowOff>
    </xdr:to>
    <mc:AlternateContent xmlns:mc="http://schemas.openxmlformats.org/markup-compatibility/2006" xmlns:a14="http://schemas.microsoft.com/office/drawing/2010/main">
      <mc:Choice Requires="a14">
        <xdr:graphicFrame macro="">
          <xdr:nvGraphicFramePr>
            <xdr:cNvPr id="31" name="Channel 1">
              <a:extLst>
                <a:ext uri="{FF2B5EF4-FFF2-40B4-BE49-F238E27FC236}">
                  <a16:creationId xmlns:a16="http://schemas.microsoft.com/office/drawing/2014/main" id="{26572D1A-6CA1-4C73-83A7-250AF519CD56}"/>
                </a:ext>
              </a:extLst>
            </xdr:cNvPr>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mlns="">
        <xdr:sp macro="" textlink="">
          <xdr:nvSpPr>
            <xdr:cNvPr id="0" name=""/>
            <xdr:cNvSpPr>
              <a:spLocks noTextEdit="1"/>
            </xdr:cNvSpPr>
          </xdr:nvSpPr>
          <xdr:spPr>
            <a:xfrm>
              <a:off x="10992922" y="791688"/>
              <a:ext cx="1828800" cy="1695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114300</xdr:colOff>
      <xdr:row>30</xdr:row>
      <xdr:rowOff>975</xdr:rowOff>
    </xdr:to>
    <xdr:sp macro="" textlink="">
      <xdr:nvSpPr>
        <xdr:cNvPr id="2" name="Rectangle 1">
          <a:extLst>
            <a:ext uri="{FF2B5EF4-FFF2-40B4-BE49-F238E27FC236}">
              <a16:creationId xmlns:a16="http://schemas.microsoft.com/office/drawing/2014/main" id="{88305667-1619-4A61-9EC6-1497FECC8DD3}"/>
            </a:ext>
          </a:extLst>
        </xdr:cNvPr>
        <xdr:cNvSpPr/>
      </xdr:nvSpPr>
      <xdr:spPr>
        <a:xfrm>
          <a:off x="0" y="0"/>
          <a:ext cx="12929755" cy="5443832"/>
        </a:xfrm>
        <a:prstGeom prst="rect">
          <a:avLst/>
        </a:prstGeom>
        <a:solidFill>
          <a:srgbClr val="002060"/>
        </a:solidFill>
        <a:ln>
          <a:noFill/>
        </a:ln>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302846</xdr:colOff>
      <xdr:row>0</xdr:row>
      <xdr:rowOff>146538</xdr:rowOff>
    </xdr:from>
    <xdr:to>
      <xdr:col>20</xdr:col>
      <xdr:colOff>449385</xdr:colOff>
      <xdr:row>3</xdr:row>
      <xdr:rowOff>127000</xdr:rowOff>
    </xdr:to>
    <xdr:sp macro="" textlink="">
      <xdr:nvSpPr>
        <xdr:cNvPr id="3" name="Rectangle: Rounded Corners 2">
          <a:extLst>
            <a:ext uri="{FF2B5EF4-FFF2-40B4-BE49-F238E27FC236}">
              <a16:creationId xmlns:a16="http://schemas.microsoft.com/office/drawing/2014/main" id="{C014A1B1-028B-4B75-A997-F4836B4ED452}"/>
            </a:ext>
          </a:extLst>
        </xdr:cNvPr>
        <xdr:cNvSpPr/>
      </xdr:nvSpPr>
      <xdr:spPr>
        <a:xfrm>
          <a:off x="302846" y="146538"/>
          <a:ext cx="12338539" cy="532912"/>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bg1"/>
              </a:solidFill>
            </a:rPr>
            <a:t>Sales Dashboard</a:t>
          </a:r>
        </a:p>
      </xdr:txBody>
    </xdr:sp>
    <xdr:clientData/>
  </xdr:twoCellAnchor>
  <xdr:twoCellAnchor>
    <xdr:from>
      <xdr:col>0</xdr:col>
      <xdr:colOff>341923</xdr:colOff>
      <xdr:row>3</xdr:row>
      <xdr:rowOff>127002</xdr:rowOff>
    </xdr:from>
    <xdr:to>
      <xdr:col>20</xdr:col>
      <xdr:colOff>48846</xdr:colOff>
      <xdr:row>3</xdr:row>
      <xdr:rowOff>166079</xdr:rowOff>
    </xdr:to>
    <xdr:cxnSp macro="">
      <xdr:nvCxnSpPr>
        <xdr:cNvPr id="4" name="Straight Connector 3">
          <a:extLst>
            <a:ext uri="{FF2B5EF4-FFF2-40B4-BE49-F238E27FC236}">
              <a16:creationId xmlns:a16="http://schemas.microsoft.com/office/drawing/2014/main" id="{C7EDB2E6-1E1D-47F7-ADC0-63D41AA5BFA4}"/>
            </a:ext>
          </a:extLst>
        </xdr:cNvPr>
        <xdr:cNvCxnSpPr/>
      </xdr:nvCxnSpPr>
      <xdr:spPr>
        <a:xfrm flipV="1">
          <a:off x="341923" y="679452"/>
          <a:ext cx="11898923" cy="39077"/>
        </a:xfrm>
        <a:prstGeom prst="line">
          <a:avLst/>
        </a:prstGeom>
      </xdr:spPr>
      <xdr:style>
        <a:lnRef idx="3">
          <a:schemeClr val="accent1"/>
        </a:lnRef>
        <a:fillRef idx="0">
          <a:schemeClr val="accent1"/>
        </a:fillRef>
        <a:effectRef idx="2">
          <a:schemeClr val="accent1"/>
        </a:effectRef>
        <a:fontRef idx="minor">
          <a:schemeClr val="tx1"/>
        </a:fontRef>
      </xdr:style>
    </xdr:cxnSp>
    <xdr:clientData/>
  </xdr:twoCellAnchor>
  <xdr:twoCellAnchor editAs="oneCell">
    <xdr:from>
      <xdr:col>0</xdr:col>
      <xdr:colOff>409926</xdr:colOff>
      <xdr:row>4</xdr:row>
      <xdr:rowOff>144128</xdr:rowOff>
    </xdr:from>
    <xdr:to>
      <xdr:col>3</xdr:col>
      <xdr:colOff>116850</xdr:colOff>
      <xdr:row>11</xdr:row>
      <xdr:rowOff>61858</xdr:rowOff>
    </xdr:to>
    <mc:AlternateContent xmlns:mc="http://schemas.openxmlformats.org/markup-compatibility/2006" xmlns:a14="http://schemas.microsoft.com/office/drawing/2010/main">
      <mc:Choice Requires="a14">
        <xdr:graphicFrame macro="">
          <xdr:nvGraphicFramePr>
            <xdr:cNvPr id="5" name="Category 2">
              <a:extLst>
                <a:ext uri="{FF2B5EF4-FFF2-40B4-BE49-F238E27FC236}">
                  <a16:creationId xmlns:a16="http://schemas.microsoft.com/office/drawing/2014/main" id="{69B2B336-3E64-49C2-AC1C-90A403C60E9E}"/>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409926" y="869842"/>
              <a:ext cx="1537703" cy="11877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302848</xdr:colOff>
      <xdr:row>4</xdr:row>
      <xdr:rowOff>58615</xdr:rowOff>
    </xdr:from>
    <xdr:to>
      <xdr:col>17</xdr:col>
      <xdr:colOff>412338</xdr:colOff>
      <xdr:row>14</xdr:row>
      <xdr:rowOff>74221</xdr:rowOff>
    </xdr:to>
    <mc:AlternateContent xmlns:mc="http://schemas.openxmlformats.org/markup-compatibility/2006" xmlns:tsle="http://schemas.microsoft.com/office/drawing/2012/timeslicer">
      <mc:Choice Requires="tsle">
        <xdr:graphicFrame macro="">
          <xdr:nvGraphicFramePr>
            <xdr:cNvPr id="7" name="Date 2">
              <a:extLst>
                <a:ext uri="{FF2B5EF4-FFF2-40B4-BE49-F238E27FC236}">
                  <a16:creationId xmlns:a16="http://schemas.microsoft.com/office/drawing/2014/main" id="{0250883C-5DFE-4856-BBF0-89115BF61CDE}"/>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8846484" y="784329"/>
              <a:ext cx="1940270" cy="1829892"/>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3</xdr:col>
      <xdr:colOff>269986</xdr:colOff>
      <xdr:row>4</xdr:row>
      <xdr:rowOff>77520</xdr:rowOff>
    </xdr:from>
    <xdr:to>
      <xdr:col>6</xdr:col>
      <xdr:colOff>563063</xdr:colOff>
      <xdr:row>9</xdr:row>
      <xdr:rowOff>126367</xdr:rowOff>
    </xdr:to>
    <xdr:grpSp>
      <xdr:nvGrpSpPr>
        <xdr:cNvPr id="24" name="Group 23">
          <a:extLst>
            <a:ext uri="{FF2B5EF4-FFF2-40B4-BE49-F238E27FC236}">
              <a16:creationId xmlns:a16="http://schemas.microsoft.com/office/drawing/2014/main" id="{CC39304F-C4D5-ACE2-ADCC-589A123D3BA5}"/>
            </a:ext>
          </a:extLst>
        </xdr:cNvPr>
        <xdr:cNvGrpSpPr/>
      </xdr:nvGrpSpPr>
      <xdr:grpSpPr>
        <a:xfrm>
          <a:off x="2100765" y="803234"/>
          <a:ext cx="2123856" cy="955990"/>
          <a:chOff x="4310895" y="852714"/>
          <a:chExt cx="2123856" cy="955990"/>
        </a:xfrm>
      </xdr:grpSpPr>
      <xdr:sp macro="" textlink="">
        <xdr:nvSpPr>
          <xdr:cNvPr id="8" name="Rectangle: Rounded Corners 7">
            <a:extLst>
              <a:ext uri="{FF2B5EF4-FFF2-40B4-BE49-F238E27FC236}">
                <a16:creationId xmlns:a16="http://schemas.microsoft.com/office/drawing/2014/main" id="{5C5E4B93-2E6C-46A4-876E-27D2B3B88875}"/>
              </a:ext>
            </a:extLst>
          </xdr:cNvPr>
          <xdr:cNvSpPr/>
        </xdr:nvSpPr>
        <xdr:spPr>
          <a:xfrm>
            <a:off x="4310895" y="852714"/>
            <a:ext cx="2123856" cy="95599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200">
                <a:latin typeface="+mn-lt"/>
                <a:cs typeface="Times New Roman" panose="02020603050405020304" pitchFamily="18" charset="0"/>
              </a:rPr>
              <a:t>Total Revenue</a:t>
            </a:r>
          </a:p>
        </xdr:txBody>
      </xdr:sp>
      <xdr:pic>
        <xdr:nvPicPr>
          <xdr:cNvPr id="9" name="Graphic 8" descr="Money">
            <a:extLst>
              <a:ext uri="{FF2B5EF4-FFF2-40B4-BE49-F238E27FC236}">
                <a16:creationId xmlns:a16="http://schemas.microsoft.com/office/drawing/2014/main" id="{765D49AC-5C28-4A71-BBC8-0401CD1A9F3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369510" y="985297"/>
            <a:ext cx="498231" cy="579454"/>
          </a:xfrm>
          <a:prstGeom prst="rect">
            <a:avLst/>
          </a:prstGeom>
        </xdr:spPr>
      </xdr:pic>
      <xdr:sp macro="" textlink="'Pivot table'!$E$4">
        <xdr:nvSpPr>
          <xdr:cNvPr id="14" name="TextBox 13">
            <a:extLst>
              <a:ext uri="{FF2B5EF4-FFF2-40B4-BE49-F238E27FC236}">
                <a16:creationId xmlns:a16="http://schemas.microsoft.com/office/drawing/2014/main" id="{DE8E413F-5972-4ABA-8B0C-33CD495F733C}"/>
              </a:ext>
            </a:extLst>
          </xdr:cNvPr>
          <xdr:cNvSpPr txBox="1"/>
        </xdr:nvSpPr>
        <xdr:spPr>
          <a:xfrm>
            <a:off x="4839956" y="1071696"/>
            <a:ext cx="1586548" cy="588946"/>
          </a:xfrm>
          <a:prstGeom prst="rect">
            <a:avLst/>
          </a:prstGeom>
          <a:no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t"/>
          <a:lstStyle/>
          <a:p>
            <a:fld id="{1519DB29-1C8E-4916-A7F4-818679E392D0}" type="TxLink">
              <a:rPr lang="en-US" sz="1800" b="1" i="0" u="none" strike="noStrike">
                <a:solidFill>
                  <a:schemeClr val="bg1"/>
                </a:solidFill>
                <a:latin typeface="Calibri"/>
                <a:ea typeface="Calibri"/>
                <a:cs typeface="Calibri"/>
              </a:rPr>
              <a:pPr/>
              <a:t> $3,543,587.44 </a:t>
            </a:fld>
            <a:endParaRPr lang="en-US" sz="1800" b="1">
              <a:solidFill>
                <a:schemeClr val="bg1"/>
              </a:solidFill>
            </a:endParaRPr>
          </a:p>
        </xdr:txBody>
      </xdr:sp>
    </xdr:grpSp>
    <xdr:clientData/>
  </xdr:twoCellAnchor>
  <xdr:twoCellAnchor>
    <xdr:from>
      <xdr:col>7</xdr:col>
      <xdr:colOff>2309</xdr:colOff>
      <xdr:row>4</xdr:row>
      <xdr:rowOff>77291</xdr:rowOff>
    </xdr:from>
    <xdr:to>
      <xdr:col>10</xdr:col>
      <xdr:colOff>309724</xdr:colOff>
      <xdr:row>9</xdr:row>
      <xdr:rowOff>126138</xdr:rowOff>
    </xdr:to>
    <xdr:grpSp>
      <xdr:nvGrpSpPr>
        <xdr:cNvPr id="25" name="Group 24">
          <a:extLst>
            <a:ext uri="{FF2B5EF4-FFF2-40B4-BE49-F238E27FC236}">
              <a16:creationId xmlns:a16="http://schemas.microsoft.com/office/drawing/2014/main" id="{16365703-328F-8317-49E2-DFB63CC61C40}"/>
            </a:ext>
          </a:extLst>
        </xdr:cNvPr>
        <xdr:cNvGrpSpPr/>
      </xdr:nvGrpSpPr>
      <xdr:grpSpPr>
        <a:xfrm>
          <a:off x="4274127" y="803005"/>
          <a:ext cx="2138194" cy="955990"/>
          <a:chOff x="6508997" y="819499"/>
          <a:chExt cx="2138194" cy="955990"/>
        </a:xfrm>
      </xdr:grpSpPr>
      <xdr:sp macro="" textlink="">
        <xdr:nvSpPr>
          <xdr:cNvPr id="10" name="Rectangle: Rounded Corners 9">
            <a:extLst>
              <a:ext uri="{FF2B5EF4-FFF2-40B4-BE49-F238E27FC236}">
                <a16:creationId xmlns:a16="http://schemas.microsoft.com/office/drawing/2014/main" id="{1DCD2458-7A4C-4422-87D1-6355981C4CA5}"/>
              </a:ext>
            </a:extLst>
          </xdr:cNvPr>
          <xdr:cNvSpPr/>
        </xdr:nvSpPr>
        <xdr:spPr>
          <a:xfrm>
            <a:off x="6508997" y="819499"/>
            <a:ext cx="2128424" cy="95599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100"/>
              <a:t>Total Orders</a:t>
            </a:r>
          </a:p>
        </xdr:txBody>
      </xdr:sp>
      <xdr:pic>
        <xdr:nvPicPr>
          <xdr:cNvPr id="11" name="Graphic 10" descr="Shopping bag">
            <a:extLst>
              <a:ext uri="{FF2B5EF4-FFF2-40B4-BE49-F238E27FC236}">
                <a16:creationId xmlns:a16="http://schemas.microsoft.com/office/drawing/2014/main" id="{4FDBEB96-BC19-4BAD-BA2B-26E567391F3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649674" y="965759"/>
            <a:ext cx="580506" cy="563378"/>
          </a:xfrm>
          <a:prstGeom prst="rect">
            <a:avLst/>
          </a:prstGeom>
        </xdr:spPr>
      </xdr:pic>
      <xdr:sp macro="" textlink="'Pivot table'!B4">
        <xdr:nvSpPr>
          <xdr:cNvPr id="15" name="TextBox 14">
            <a:extLst>
              <a:ext uri="{FF2B5EF4-FFF2-40B4-BE49-F238E27FC236}">
                <a16:creationId xmlns:a16="http://schemas.microsoft.com/office/drawing/2014/main" id="{BB5157B4-710C-474D-A18D-2F3E271C9887}"/>
              </a:ext>
            </a:extLst>
          </xdr:cNvPr>
          <xdr:cNvSpPr txBox="1"/>
        </xdr:nvSpPr>
        <xdr:spPr>
          <a:xfrm>
            <a:off x="7060643" y="898918"/>
            <a:ext cx="1586548" cy="593133"/>
          </a:xfrm>
          <a:prstGeom prst="rect">
            <a:avLst/>
          </a:prstGeom>
          <a:no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ctr"/>
          <a:lstStyle/>
          <a:p>
            <a:pPr marL="0" indent="0" algn="ctr"/>
            <a:fld id="{59B7D513-0B10-4E5B-80C4-4E039AFEE406}" type="TxLink">
              <a:rPr lang="en-US" sz="1800" b="1" i="0" u="none" strike="noStrike">
                <a:solidFill>
                  <a:schemeClr val="bg1"/>
                </a:solidFill>
                <a:latin typeface="Calibri"/>
                <a:ea typeface="Calibri"/>
                <a:cs typeface="Calibri"/>
              </a:rPr>
              <a:pPr marL="0" indent="0" algn="ctr"/>
              <a:t>1002</a:t>
            </a:fld>
            <a:endParaRPr lang="en-US" sz="1800" b="1" i="0" u="none" strike="noStrike">
              <a:solidFill>
                <a:schemeClr val="bg1"/>
              </a:solidFill>
              <a:latin typeface="Calibri"/>
              <a:ea typeface="Calibri"/>
              <a:cs typeface="Calibri"/>
            </a:endParaRPr>
          </a:p>
        </xdr:txBody>
      </xdr:sp>
    </xdr:grpSp>
    <xdr:clientData/>
  </xdr:twoCellAnchor>
  <xdr:twoCellAnchor>
    <xdr:from>
      <xdr:col>10</xdr:col>
      <xdr:colOff>315467</xdr:colOff>
      <xdr:row>4</xdr:row>
      <xdr:rowOff>88354</xdr:rowOff>
    </xdr:from>
    <xdr:to>
      <xdr:col>14</xdr:col>
      <xdr:colOff>22254</xdr:colOff>
      <xdr:row>9</xdr:row>
      <xdr:rowOff>137200</xdr:rowOff>
    </xdr:to>
    <xdr:grpSp>
      <xdr:nvGrpSpPr>
        <xdr:cNvPr id="26" name="Group 25">
          <a:extLst>
            <a:ext uri="{FF2B5EF4-FFF2-40B4-BE49-F238E27FC236}">
              <a16:creationId xmlns:a16="http://schemas.microsoft.com/office/drawing/2014/main" id="{44F9F818-A1DF-9910-FE17-5E838494A9D9}"/>
            </a:ext>
          </a:extLst>
        </xdr:cNvPr>
        <xdr:cNvGrpSpPr/>
      </xdr:nvGrpSpPr>
      <xdr:grpSpPr>
        <a:xfrm>
          <a:off x="6418064" y="814068"/>
          <a:ext cx="2147826" cy="955989"/>
          <a:chOff x="4298649" y="1894393"/>
          <a:chExt cx="2147826" cy="955989"/>
        </a:xfrm>
      </xdr:grpSpPr>
      <xdr:sp macro="" textlink="">
        <xdr:nvSpPr>
          <xdr:cNvPr id="12" name="Rectangle: Rounded Corners 11">
            <a:extLst>
              <a:ext uri="{FF2B5EF4-FFF2-40B4-BE49-F238E27FC236}">
                <a16:creationId xmlns:a16="http://schemas.microsoft.com/office/drawing/2014/main" id="{7C97D69C-ACBD-4C12-A6DF-34F10CBD1BEB}"/>
              </a:ext>
            </a:extLst>
          </xdr:cNvPr>
          <xdr:cNvSpPr/>
        </xdr:nvSpPr>
        <xdr:spPr>
          <a:xfrm>
            <a:off x="4322619" y="1894393"/>
            <a:ext cx="2123856" cy="95598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100"/>
              <a:t>Total Quatity</a:t>
            </a:r>
          </a:p>
        </xdr:txBody>
      </xdr:sp>
      <xdr:pic>
        <xdr:nvPicPr>
          <xdr:cNvPr id="18" name="Graphic 17" descr="Database">
            <a:extLst>
              <a:ext uri="{FF2B5EF4-FFF2-40B4-BE49-F238E27FC236}">
                <a16:creationId xmlns:a16="http://schemas.microsoft.com/office/drawing/2014/main" id="{17614BC4-51F4-419E-AA13-AC2E077C0DB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298649" y="1995714"/>
            <a:ext cx="648181" cy="532786"/>
          </a:xfrm>
          <a:prstGeom prst="rect">
            <a:avLst/>
          </a:prstGeom>
        </xdr:spPr>
      </xdr:pic>
      <xdr:sp macro="" textlink="'Pivot table'!Q4">
        <xdr:nvSpPr>
          <xdr:cNvPr id="19" name="TextBox 18">
            <a:extLst>
              <a:ext uri="{FF2B5EF4-FFF2-40B4-BE49-F238E27FC236}">
                <a16:creationId xmlns:a16="http://schemas.microsoft.com/office/drawing/2014/main" id="{F9299CF6-729C-48CE-84B7-759B27790236}"/>
              </a:ext>
            </a:extLst>
          </xdr:cNvPr>
          <xdr:cNvSpPr txBox="1"/>
        </xdr:nvSpPr>
        <xdr:spPr>
          <a:xfrm>
            <a:off x="5025177" y="2031489"/>
            <a:ext cx="1292068" cy="434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64B6AE0-D74D-4F75-BCEB-A3857F8AF99A}" type="TxLink">
              <a:rPr lang="en-US" sz="2000" b="1" i="0" u="none" strike="noStrike">
                <a:solidFill>
                  <a:schemeClr val="bg1"/>
                </a:solidFill>
                <a:latin typeface="Calibri"/>
                <a:ea typeface="Calibri"/>
                <a:cs typeface="Calibri"/>
              </a:rPr>
              <a:pPr algn="ctr"/>
              <a:t>15822</a:t>
            </a:fld>
            <a:endParaRPr lang="en-US" sz="2000" b="1">
              <a:solidFill>
                <a:schemeClr val="bg1"/>
              </a:solidFill>
            </a:endParaRPr>
          </a:p>
        </xdr:txBody>
      </xdr:sp>
    </xdr:grpSp>
    <xdr:clientData/>
  </xdr:twoCellAnchor>
  <xdr:twoCellAnchor editAs="oneCell">
    <xdr:from>
      <xdr:col>18</xdr:col>
      <xdr:colOff>8247</xdr:colOff>
      <xdr:row>4</xdr:row>
      <xdr:rowOff>65974</xdr:rowOff>
    </xdr:from>
    <xdr:to>
      <xdr:col>21</xdr:col>
      <xdr:colOff>6267</xdr:colOff>
      <xdr:row>13</xdr:row>
      <xdr:rowOff>128567</xdr:rowOff>
    </xdr:to>
    <mc:AlternateContent xmlns:mc="http://schemas.openxmlformats.org/markup-compatibility/2006" xmlns:a14="http://schemas.microsoft.com/office/drawing/2010/main">
      <mc:Choice Requires="a14">
        <xdr:graphicFrame macro="">
          <xdr:nvGraphicFramePr>
            <xdr:cNvPr id="23" name="Channel 2">
              <a:extLst>
                <a:ext uri="{FF2B5EF4-FFF2-40B4-BE49-F238E27FC236}">
                  <a16:creationId xmlns:a16="http://schemas.microsoft.com/office/drawing/2014/main" id="{EFFA65A2-9B4F-43B3-B315-7C60DF380DDF}"/>
                </a:ext>
              </a:extLst>
            </xdr:cNvPr>
            <xdr:cNvGraphicFramePr/>
          </xdr:nvGraphicFramePr>
          <xdr:xfrm>
            <a:off x="0" y="0"/>
            <a:ext cx="0" cy="0"/>
          </xdr:xfrm>
          <a:graphic>
            <a:graphicData uri="http://schemas.microsoft.com/office/drawing/2010/slicer">
              <sle:slicer xmlns:sle="http://schemas.microsoft.com/office/drawing/2010/slicer" name="Channel 2"/>
            </a:graphicData>
          </a:graphic>
        </xdr:graphicFrame>
      </mc:Choice>
      <mc:Fallback xmlns="">
        <xdr:sp macro="" textlink="">
          <xdr:nvSpPr>
            <xdr:cNvPr id="0" name=""/>
            <xdr:cNvSpPr>
              <a:spLocks noTextEdit="1"/>
            </xdr:cNvSpPr>
          </xdr:nvSpPr>
          <xdr:spPr>
            <a:xfrm>
              <a:off x="10992922" y="791688"/>
              <a:ext cx="1828800" cy="1695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321622</xdr:colOff>
      <xdr:row>11</xdr:row>
      <xdr:rowOff>164935</xdr:rowOff>
    </xdr:from>
    <xdr:to>
      <xdr:col>13</xdr:col>
      <xdr:colOff>602012</xdr:colOff>
      <xdr:row>29</xdr:row>
      <xdr:rowOff>65973</xdr:rowOff>
    </xdr:to>
    <xdr:graphicFrame macro="">
      <xdr:nvGraphicFramePr>
        <xdr:cNvPr id="6" name="Chart 5">
          <a:extLst>
            <a:ext uri="{FF2B5EF4-FFF2-40B4-BE49-F238E27FC236}">
              <a16:creationId xmlns:a16="http://schemas.microsoft.com/office/drawing/2014/main" id="{49D06AEB-5E7E-4986-AB9C-97612290E3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86.480237037038" createdVersion="8" refreshedVersion="8" minRefreshableVersion="3" recordCount="1002" xr:uid="{47192AB6-633F-4D65-AFD2-1482CE0E6EE3}">
  <cacheSource type="worksheet">
    <worksheetSource name="Transactions"/>
  </cacheSource>
  <cacheFields count="25">
    <cacheField name="Transaction ID" numFmtId="0">
      <sharedItems/>
    </cacheField>
    <cacheField name="Date" numFmtId="14">
      <sharedItems containsSemiMixedTypes="0" containsNonDate="0" containsDate="1" containsString="0" minDate="2021-01-01T00:00:00" maxDate="2025-12-31T00:00:00" count="772">
        <d v="2021-01-01T00:00:00"/>
        <d v="2021-01-02T00:00:00"/>
        <d v="2021-01-06T00:00:00"/>
        <d v="2021-01-07T00:00:00"/>
        <d v="2021-01-10T00:00:00"/>
        <d v="2021-01-11T00:00:00"/>
        <d v="2021-01-14T00:00:00"/>
        <d v="2021-01-17T00:00:00"/>
        <d v="2021-01-23T00:00:00"/>
        <d v="2021-01-24T00:00:00"/>
        <d v="2021-01-26T00:00:00"/>
        <d v="2021-01-27T00:00:00"/>
        <d v="2021-01-28T00:00:00"/>
        <d v="2021-01-31T00:00:00"/>
        <d v="2021-02-01T00:00:00"/>
        <d v="2021-02-05T00:00:00"/>
        <d v="2021-02-07T00:00:00"/>
        <d v="2021-02-08T00:00:00"/>
        <d v="2021-02-12T00:00:00"/>
        <d v="2021-02-15T00:00:00"/>
        <d v="2021-02-18T00:00:00"/>
        <d v="2021-02-20T00:00:00"/>
        <d v="2021-02-21T00:00:00"/>
        <d v="2021-02-22T00:00:00"/>
        <d v="2021-02-24T00:00:00"/>
        <d v="2021-02-27T00:00:00"/>
        <d v="2021-02-28T00:00:00"/>
        <d v="2021-03-05T00:00:00"/>
        <d v="2021-03-06T00:00:00"/>
        <d v="2021-03-09T00:00:00"/>
        <d v="2021-03-11T00:00:00"/>
        <d v="2021-03-14T00:00:00"/>
        <d v="2021-03-16T00:00:00"/>
        <d v="2021-03-17T00:00:00"/>
        <d v="2021-03-20T00:00:00"/>
        <d v="2021-03-21T00:00:00"/>
        <d v="2021-03-22T00:00:00"/>
        <d v="2021-03-23T00:00:00"/>
        <d v="2021-03-24T00:00:00"/>
        <d v="2021-03-31T00:00:00"/>
        <d v="2021-04-01T00:00:00"/>
        <d v="2021-04-05T00:00:00"/>
        <d v="2021-04-07T00:00:00"/>
        <d v="2021-04-08T00:00:00"/>
        <d v="2021-04-18T00:00:00"/>
        <d v="2021-04-19T00:00:00"/>
        <d v="2021-04-26T00:00:00"/>
        <d v="2021-04-27T00:00:00"/>
        <d v="2021-04-29T00:00:00"/>
        <d v="2021-04-30T00:00:00"/>
        <d v="2021-05-01T00:00:00"/>
        <d v="2021-05-03T00:00:00"/>
        <d v="2021-05-04T00:00:00"/>
        <d v="2021-05-07T00:00:00"/>
        <d v="2021-05-08T00:00:00"/>
        <d v="2021-05-09T00:00:00"/>
        <d v="2021-05-14T00:00:00"/>
        <d v="2021-05-16T00:00:00"/>
        <d v="2021-05-18T00:00:00"/>
        <d v="2021-05-22T00:00:00"/>
        <d v="2021-05-25T00:00:00"/>
        <d v="2021-05-27T00:00:00"/>
        <d v="2021-05-31T00:00:00"/>
        <d v="2021-06-01T00:00:00"/>
        <d v="2021-06-03T00:00:00"/>
        <d v="2021-06-04T00:00:00"/>
        <d v="2021-06-05T00:00:00"/>
        <d v="2021-06-07T00:00:00"/>
        <d v="2021-06-10T00:00:00"/>
        <d v="2021-06-14T00:00:00"/>
        <d v="2021-06-19T00:00:00"/>
        <d v="2021-06-21T00:00:00"/>
        <d v="2021-06-23T00:00:00"/>
        <d v="2021-06-24T00:00:00"/>
        <d v="2021-07-03T00:00:00"/>
        <d v="2021-07-05T00:00:00"/>
        <d v="2021-07-06T00:00:00"/>
        <d v="2021-07-08T00:00:00"/>
        <d v="2021-07-09T00:00:00"/>
        <d v="2021-07-11T00:00:00"/>
        <d v="2021-07-12T00:00:00"/>
        <d v="2021-07-14T00:00:00"/>
        <d v="2021-07-15T00:00:00"/>
        <d v="2021-07-22T00:00:00"/>
        <d v="2021-07-23T00:00:00"/>
        <d v="2021-07-27T00:00:00"/>
        <d v="2021-07-28T00:00:00"/>
        <d v="2021-07-29T00:00:00"/>
        <d v="2021-07-30T00:00:00"/>
        <d v="2021-07-31T00:00:00"/>
        <d v="2021-08-01T00:00:00"/>
        <d v="2021-08-02T00:00:00"/>
        <d v="2021-08-03T00:00:00"/>
        <d v="2021-08-04T00:00:00"/>
        <d v="2021-08-06T00:00:00"/>
        <d v="2021-08-08T00:00:00"/>
        <d v="2021-08-09T00:00:00"/>
        <d v="2021-08-11T00:00:00"/>
        <d v="2021-08-12T00:00:00"/>
        <d v="2021-08-13T00:00:00"/>
        <d v="2021-08-15T00:00:00"/>
        <d v="2021-08-19T00:00:00"/>
        <d v="2021-08-22T00:00:00"/>
        <d v="2021-08-26T00:00:00"/>
        <d v="2021-08-28T00:00:00"/>
        <d v="2021-08-29T00:00:00"/>
        <d v="2021-09-02T00:00:00"/>
        <d v="2021-09-05T00:00:00"/>
        <d v="2021-09-08T00:00:00"/>
        <d v="2021-09-09T00:00:00"/>
        <d v="2021-09-14T00:00:00"/>
        <d v="2021-09-17T00:00:00"/>
        <d v="2021-09-18T00:00:00"/>
        <d v="2021-09-21T00:00:00"/>
        <d v="2021-09-28T00:00:00"/>
        <d v="2021-09-29T00:00:00"/>
        <d v="2021-10-01T00:00:00"/>
        <d v="2021-10-02T00:00:00"/>
        <d v="2021-10-03T00:00:00"/>
        <d v="2021-10-06T00:00:00"/>
        <d v="2021-10-07T00:00:00"/>
        <d v="2021-10-09T00:00:00"/>
        <d v="2021-10-10T00:00:00"/>
        <d v="2021-10-11T00:00:00"/>
        <d v="2021-10-15T00:00:00"/>
        <d v="2021-10-16T00:00:00"/>
        <d v="2021-10-17T00:00:00"/>
        <d v="2021-10-18T00:00:00"/>
        <d v="2021-10-19T00:00:00"/>
        <d v="2021-10-20T00:00:00"/>
        <d v="2021-10-22T00:00:00"/>
        <d v="2021-10-23T00:00:00"/>
        <d v="2021-10-24T00:00:00"/>
        <d v="2021-10-26T00:00:00"/>
        <d v="2021-10-28T00:00:00"/>
        <d v="2021-10-29T00:00:00"/>
        <d v="2021-11-01T00:00:00"/>
        <d v="2021-11-02T00:00:00"/>
        <d v="2021-11-06T00:00:00"/>
        <d v="2021-11-07T00:00:00"/>
        <d v="2021-11-09T00:00:00"/>
        <d v="2021-11-17T00:00:00"/>
        <d v="2021-11-18T00:00:00"/>
        <d v="2021-11-19T00:00:00"/>
        <d v="2021-11-22T00:00:00"/>
        <d v="2021-11-23T00:00:00"/>
        <d v="2021-11-24T00:00:00"/>
        <d v="2021-11-25T00:00:00"/>
        <d v="2021-11-30T00:00:00"/>
        <d v="2021-12-04T00:00:00"/>
        <d v="2021-12-06T00:00:00"/>
        <d v="2021-12-07T00:00:00"/>
        <d v="2021-12-08T00:00:00"/>
        <d v="2021-12-09T00:00:00"/>
        <d v="2021-12-11T00:00:00"/>
        <d v="2021-12-20T00:00:00"/>
        <d v="2021-12-22T00:00:00"/>
        <d v="2021-12-23T00:00:00"/>
        <d v="2021-12-24T00:00:00"/>
        <d v="2021-12-26T00:00:00"/>
        <d v="2021-12-27T00:00:00"/>
        <d v="2022-01-09T00:00:00"/>
        <d v="2022-01-10T00:00:00"/>
        <d v="2022-01-11T00:00:00"/>
        <d v="2022-01-12T00:00:00"/>
        <d v="2022-01-14T00:00:00"/>
        <d v="2022-01-15T00:00:00"/>
        <d v="2022-01-16T00:00:00"/>
        <d v="2022-01-17T00:00:00"/>
        <d v="2022-01-20T00:00:00"/>
        <d v="2022-01-22T00:00:00"/>
        <d v="2022-01-23T00:00:00"/>
        <d v="2022-01-24T00:00:00"/>
        <d v="2022-01-25T00:00:00"/>
        <d v="2022-01-29T00:00:00"/>
        <d v="2022-02-01T00:00:00"/>
        <d v="2022-02-07T00:00:00"/>
        <d v="2022-02-09T00:00:00"/>
        <d v="2022-02-11T00:00:00"/>
        <d v="2022-02-12T00:00:00"/>
        <d v="2022-02-14T00:00:00"/>
        <d v="2022-02-18T00:00:00"/>
        <d v="2022-02-19T00:00:00"/>
        <d v="2022-02-21T00:00:00"/>
        <d v="2022-02-24T00:00:00"/>
        <d v="2022-02-25T00:00:00"/>
        <d v="2022-02-28T00:00:00"/>
        <d v="2022-03-04T00:00:00"/>
        <d v="2022-03-12T00:00:00"/>
        <d v="2022-03-15T00:00:00"/>
        <d v="2022-03-16T00:00:00"/>
        <d v="2022-03-17T00:00:00"/>
        <d v="2022-03-18T00:00:00"/>
        <d v="2022-03-19T00:00:00"/>
        <d v="2022-03-20T00:00:00"/>
        <d v="2022-03-22T00:00:00"/>
        <d v="2022-03-23T00:00:00"/>
        <d v="2022-03-24T00:00:00"/>
        <d v="2022-03-27T00:00:00"/>
        <d v="2022-04-01T00:00:00"/>
        <d v="2022-04-03T00:00:00"/>
        <d v="2022-04-06T00:00:00"/>
        <d v="2022-04-09T00:00:00"/>
        <d v="2022-04-10T00:00:00"/>
        <d v="2022-04-12T00:00:00"/>
        <d v="2022-04-13T00:00:00"/>
        <d v="2022-04-24T00:00:00"/>
        <d v="2022-04-25T00:00:00"/>
        <d v="2022-04-27T00:00:00"/>
        <d v="2022-04-29T00:00:00"/>
        <d v="2022-04-30T00:00:00"/>
        <d v="2022-05-01T00:00:00"/>
        <d v="2022-05-08T00:00:00"/>
        <d v="2022-05-12T00:00:00"/>
        <d v="2022-05-14T00:00:00"/>
        <d v="2022-05-17T00:00:00"/>
        <d v="2022-05-21T00:00:00"/>
        <d v="2022-05-25T00:00:00"/>
        <d v="2022-05-26T00:00:00"/>
        <d v="2022-05-28T00:00:00"/>
        <d v="2022-05-29T00:00:00"/>
        <d v="2022-05-31T00:00:00"/>
        <d v="2022-06-01T00:00:00"/>
        <d v="2022-06-02T00:00:00"/>
        <d v="2022-06-03T00:00:00"/>
        <d v="2022-06-08T00:00:00"/>
        <d v="2022-06-09T00:00:00"/>
        <d v="2022-06-13T00:00:00"/>
        <d v="2022-06-20T00:00:00"/>
        <d v="2022-06-22T00:00:00"/>
        <d v="2022-06-30T00:00:00"/>
        <d v="2022-07-05T00:00:00"/>
        <d v="2022-07-08T00:00:00"/>
        <d v="2022-07-09T00:00:00"/>
        <d v="2022-07-16T00:00:00"/>
        <d v="2022-07-22T00:00:00"/>
        <d v="2022-07-25T00:00:00"/>
        <d v="2022-07-29T00:00:00"/>
        <d v="2022-07-30T00:00:00"/>
        <d v="2022-08-06T00:00:00"/>
        <d v="2022-08-08T00:00:00"/>
        <d v="2022-08-10T00:00:00"/>
        <d v="2022-08-13T00:00:00"/>
        <d v="2022-08-14T00:00:00"/>
        <d v="2022-08-16T00:00:00"/>
        <d v="2022-08-18T00:00:00"/>
        <d v="2022-08-19T00:00:00"/>
        <d v="2022-08-21T00:00:00"/>
        <d v="2022-08-23T00:00:00"/>
        <d v="2022-08-25T00:00:00"/>
        <d v="2022-08-27T00:00:00"/>
        <d v="2022-08-29T00:00:00"/>
        <d v="2022-09-04T00:00:00"/>
        <d v="2022-09-05T00:00:00"/>
        <d v="2022-09-06T00:00:00"/>
        <d v="2022-09-09T00:00:00"/>
        <d v="2022-09-12T00:00:00"/>
        <d v="2022-09-13T00:00:00"/>
        <d v="2022-09-15T00:00:00"/>
        <d v="2022-09-16T00:00:00"/>
        <d v="2022-09-20T00:00:00"/>
        <d v="2022-09-22T00:00:00"/>
        <d v="2022-09-26T00:00:00"/>
        <d v="2022-09-27T00:00:00"/>
        <d v="2022-09-30T00:00:00"/>
        <d v="2022-10-06T00:00:00"/>
        <d v="2022-10-09T00:00:00"/>
        <d v="2022-10-10T00:00:00"/>
        <d v="2022-10-11T00:00:00"/>
        <d v="2022-10-13T00:00:00"/>
        <d v="2022-10-14T00:00:00"/>
        <d v="2022-10-15T00:00:00"/>
        <d v="2022-10-17T00:00:00"/>
        <d v="2022-10-18T00:00:00"/>
        <d v="2022-10-20T00:00:00"/>
        <d v="2022-10-24T00:00:00"/>
        <d v="2022-10-26T00:00:00"/>
        <d v="2022-10-27T00:00:00"/>
        <d v="2022-10-28T00:00:00"/>
        <d v="2022-11-08T00:00:00"/>
        <d v="2022-11-10T00:00:00"/>
        <d v="2022-11-11T00:00:00"/>
        <d v="2022-11-13T00:00:00"/>
        <d v="2022-11-18T00:00:00"/>
        <d v="2022-11-20T00:00:00"/>
        <d v="2022-11-21T00:00:00"/>
        <d v="2022-11-23T00:00:00"/>
        <d v="2022-11-24T00:00:00"/>
        <d v="2022-11-27T00:00:00"/>
        <d v="2022-11-28T00:00:00"/>
        <d v="2022-11-29T00:00:00"/>
        <d v="2022-12-01T00:00:00"/>
        <d v="2022-12-03T00:00:00"/>
        <d v="2022-12-04T00:00:00"/>
        <d v="2022-12-05T00:00:00"/>
        <d v="2022-12-06T00:00:00"/>
        <d v="2022-12-07T00:00:00"/>
        <d v="2022-12-11T00:00:00"/>
        <d v="2022-12-13T00:00:00"/>
        <d v="2022-12-14T00:00:00"/>
        <d v="2022-12-15T00:00:00"/>
        <d v="2022-12-17T00:00:00"/>
        <d v="2022-12-18T00:00:00"/>
        <d v="2022-12-19T00:00:00"/>
        <d v="2022-12-24T00:00:00"/>
        <d v="2022-12-25T00:00:00"/>
        <d v="2022-12-26T00:00:00"/>
        <d v="2022-12-27T00:00:00"/>
        <d v="2022-12-29T00:00:00"/>
        <d v="2023-01-02T00:00:00"/>
        <d v="2023-01-06T00:00:00"/>
        <d v="2023-01-07T00:00:00"/>
        <d v="2023-01-09T00:00:00"/>
        <d v="2023-01-12T00:00:00"/>
        <d v="2023-01-13T00:00:00"/>
        <d v="2023-01-17T00:00:00"/>
        <d v="2023-01-21T00:00:00"/>
        <d v="2023-01-22T00:00:00"/>
        <d v="2023-01-25T00:00:00"/>
        <d v="2023-01-28T00:00:00"/>
        <d v="2023-01-29T00:00:00"/>
        <d v="2023-01-30T00:00:00"/>
        <d v="2023-01-31T00:00:00"/>
        <d v="2023-02-01T00:00:00"/>
        <d v="2023-02-07T00:00:00"/>
        <d v="2023-02-08T00:00:00"/>
        <d v="2023-02-11T00:00:00"/>
        <d v="2023-02-12T00:00:00"/>
        <d v="2023-02-13T00:00:00"/>
        <d v="2023-02-18T00:00:00"/>
        <d v="2023-02-19T00:00:00"/>
        <d v="2023-02-21T00:00:00"/>
        <d v="2023-02-22T00:00:00"/>
        <d v="2023-02-24T00:00:00"/>
        <d v="2023-02-27T00:00:00"/>
        <d v="2023-03-05T00:00:00"/>
        <d v="2023-03-11T00:00:00"/>
        <d v="2023-03-13T00:00:00"/>
        <d v="2023-03-14T00:00:00"/>
        <d v="2023-03-15T00:00:00"/>
        <d v="2023-03-16T00:00:00"/>
        <d v="2023-03-18T00:00:00"/>
        <d v="2023-03-28T00:00:00"/>
        <d v="2023-04-06T00:00:00"/>
        <d v="2023-04-08T00:00:00"/>
        <d v="2023-04-11T00:00:00"/>
        <d v="2023-04-13T00:00:00"/>
        <d v="2023-04-16T00:00:00"/>
        <d v="2023-04-17T00:00:00"/>
        <d v="2023-04-20T00:00:00"/>
        <d v="2023-04-23T00:00:00"/>
        <d v="2023-04-25T00:00:00"/>
        <d v="2023-04-28T00:00:00"/>
        <d v="2023-04-30T00:00:00"/>
        <d v="2023-05-02T00:00:00"/>
        <d v="2023-05-03T00:00:00"/>
        <d v="2023-05-07T00:00:00"/>
        <d v="2023-05-10T00:00:00"/>
        <d v="2023-05-15T00:00:00"/>
        <d v="2023-05-17T00:00:00"/>
        <d v="2023-05-18T00:00:00"/>
        <d v="2023-05-19T00:00:00"/>
        <d v="2023-05-21T00:00:00"/>
        <d v="2023-05-23T00:00:00"/>
        <d v="2023-05-25T00:00:00"/>
        <d v="2023-05-26T00:00:00"/>
        <d v="2023-05-28T00:00:00"/>
        <d v="2023-05-30T00:00:00"/>
        <d v="2023-06-02T00:00:00"/>
        <d v="2023-06-03T00:00:00"/>
        <d v="2023-06-04T00:00:00"/>
        <d v="2023-06-06T00:00:00"/>
        <d v="2023-06-09T00:00:00"/>
        <d v="2023-06-10T00:00:00"/>
        <d v="2023-06-13T00:00:00"/>
        <d v="2023-06-14T00:00:00"/>
        <d v="2023-06-17T00:00:00"/>
        <d v="2023-06-18T00:00:00"/>
        <d v="2023-06-25T00:00:00"/>
        <d v="2023-06-26T00:00:00"/>
        <d v="2023-06-27T00:00:00"/>
        <d v="2023-06-28T00:00:00"/>
        <d v="2023-06-30T00:00:00"/>
        <d v="2023-07-01T00:00:00"/>
        <d v="2023-07-03T00:00:00"/>
        <d v="2023-07-04T00:00:00"/>
        <d v="2023-07-06T00:00:00"/>
        <d v="2023-07-11T00:00:00"/>
        <d v="2023-07-12T00:00:00"/>
        <d v="2023-07-13T00:00:00"/>
        <d v="2023-07-14T00:00:00"/>
        <d v="2023-07-17T00:00:00"/>
        <d v="2023-07-20T00:00:00"/>
        <d v="2023-07-23T00:00:00"/>
        <d v="2023-07-27T00:00:00"/>
        <d v="2023-07-31T00:00:00"/>
        <d v="2023-08-02T00:00:00"/>
        <d v="2023-08-05T00:00:00"/>
        <d v="2023-08-08T00:00:00"/>
        <d v="2023-08-15T00:00:00"/>
        <d v="2023-08-16T00:00:00"/>
        <d v="2023-08-17T00:00:00"/>
        <d v="2023-08-19T00:00:00"/>
        <d v="2023-08-20T00:00:00"/>
        <d v="2023-08-22T00:00:00"/>
        <d v="2023-08-24T00:00:00"/>
        <d v="2023-08-25T00:00:00"/>
        <d v="2023-08-26T00:00:00"/>
        <d v="2023-08-29T00:00:00"/>
        <d v="2023-08-30T00:00:00"/>
        <d v="2023-09-05T00:00:00"/>
        <d v="2023-09-06T00:00:00"/>
        <d v="2023-09-07T00:00:00"/>
        <d v="2023-09-13T00:00:00"/>
        <d v="2023-09-15T00:00:00"/>
        <d v="2023-09-16T00:00:00"/>
        <d v="2023-09-22T00:00:00"/>
        <d v="2023-09-24T00:00:00"/>
        <d v="2023-09-25T00:00:00"/>
        <d v="2023-09-29T00:00:00"/>
        <d v="2023-10-02T00:00:00"/>
        <d v="2023-10-03T00:00:00"/>
        <d v="2023-10-04T00:00:00"/>
        <d v="2023-10-05T00:00:00"/>
        <d v="2023-10-06T00:00:00"/>
        <d v="2023-10-09T00:00:00"/>
        <d v="2023-10-11T00:00:00"/>
        <d v="2023-10-13T00:00:00"/>
        <d v="2023-10-14T00:00:00"/>
        <d v="2023-10-16T00:00:00"/>
        <d v="2023-10-19T00:00:00"/>
        <d v="2023-10-22T00:00:00"/>
        <d v="2023-10-23T00:00:00"/>
        <d v="2023-10-25T00:00:00"/>
        <d v="2023-10-26T00:00:00"/>
        <d v="2023-10-30T00:00:00"/>
        <d v="2023-10-31T00:00:00"/>
        <d v="2023-11-02T00:00:00"/>
        <d v="2023-11-04T00:00:00"/>
        <d v="2023-11-10T00:00:00"/>
        <d v="2023-11-11T00:00:00"/>
        <d v="2023-11-17T00:00:00"/>
        <d v="2023-11-18T00:00:00"/>
        <d v="2023-11-19T00:00:00"/>
        <d v="2023-11-20T00:00:00"/>
        <d v="2023-11-21T00:00:00"/>
        <d v="2023-11-25T00:00:00"/>
        <d v="2023-11-28T00:00:00"/>
        <d v="2023-12-02T00:00:00"/>
        <d v="2023-12-03T00:00:00"/>
        <d v="2023-12-05T00:00:00"/>
        <d v="2023-12-07T00:00:00"/>
        <d v="2023-12-09T00:00:00"/>
        <d v="2023-12-11T00:00:00"/>
        <d v="2023-12-21T00:00:00"/>
        <d v="2023-12-22T00:00:00"/>
        <d v="2023-12-24T00:00:00"/>
        <d v="2023-12-27T00:00:00"/>
        <d v="2023-12-29T00:00:00"/>
        <d v="2023-12-31T00:00:00"/>
        <d v="2024-01-01T00:00:00"/>
        <d v="2024-01-03T00:00:00"/>
        <d v="2024-01-04T00:00:00"/>
        <d v="2024-01-05T00:00:00"/>
        <d v="2024-01-07T00:00:00"/>
        <d v="2024-01-08T00:00:00"/>
        <d v="2024-01-11T00:00:00"/>
        <d v="2024-01-12T00:00:00"/>
        <d v="2024-01-19T00:00:00"/>
        <d v="2024-01-23T00:00:00"/>
        <d v="2024-01-25T00:00:00"/>
        <d v="2024-01-26T00:00:00"/>
        <d v="2024-01-28T00:00:00"/>
        <d v="2024-01-29T00:00:00"/>
        <d v="2024-01-30T00:00:00"/>
        <d v="2024-01-31T00:00:00"/>
        <d v="2024-02-01T00:00:00"/>
        <d v="2024-02-03T00:00:00"/>
        <d v="2024-02-16T00:00:00"/>
        <d v="2024-02-17T00:00:00"/>
        <d v="2024-02-21T00:00:00"/>
        <d v="2024-02-22T00:00:00"/>
        <d v="2024-02-23T00:00:00"/>
        <d v="2024-02-25T00:00:00"/>
        <d v="2024-02-28T00:00:00"/>
        <d v="2024-02-29T00:00:00"/>
        <d v="2024-03-01T00:00:00"/>
        <d v="2024-03-02T00:00:00"/>
        <d v="2024-03-06T00:00:00"/>
        <d v="2024-03-09T00:00:00"/>
        <d v="2024-03-11T00:00:00"/>
        <d v="2024-03-15T00:00:00"/>
        <d v="2024-03-17T00:00:00"/>
        <d v="2024-03-20T00:00:00"/>
        <d v="2024-03-22T00:00:00"/>
        <d v="2024-03-23T00:00:00"/>
        <d v="2024-03-25T00:00:00"/>
        <d v="2024-03-27T00:00:00"/>
        <d v="2024-03-28T00:00:00"/>
        <d v="2024-03-31T00:00:00"/>
        <d v="2024-04-01T00:00:00"/>
        <d v="2024-04-02T00:00:00"/>
        <d v="2024-04-07T00:00:00"/>
        <d v="2024-04-09T00:00:00"/>
        <d v="2024-04-10T00:00:00"/>
        <d v="2024-04-12T00:00:00"/>
        <d v="2024-04-16T00:00:00"/>
        <d v="2024-04-17T00:00:00"/>
        <d v="2024-04-21T00:00:00"/>
        <d v="2024-04-23T00:00:00"/>
        <d v="2024-04-24T00:00:00"/>
        <d v="2024-04-25T00:00:00"/>
        <d v="2024-05-01T00:00:00"/>
        <d v="2024-05-15T00:00:00"/>
        <d v="2024-05-16T00:00:00"/>
        <d v="2024-05-17T00:00:00"/>
        <d v="2024-05-18T00:00:00"/>
        <d v="2024-05-19T00:00:00"/>
        <d v="2024-05-21T00:00:00"/>
        <d v="2024-05-23T00:00:00"/>
        <d v="2024-05-26T00:00:00"/>
        <d v="2024-05-29T00:00:00"/>
        <d v="2024-05-30T00:00:00"/>
        <d v="2024-05-31T00:00:00"/>
        <d v="2024-06-02T00:00:00"/>
        <d v="2024-06-03T00:00:00"/>
        <d v="2024-06-04T00:00:00"/>
        <d v="2024-06-05T00:00:00"/>
        <d v="2024-06-06T00:00:00"/>
        <d v="2024-06-09T00:00:00"/>
        <d v="2024-06-10T00:00:00"/>
        <d v="2024-06-11T00:00:00"/>
        <d v="2024-06-18T00:00:00"/>
        <d v="2024-06-20T00:00:00"/>
        <d v="2024-06-24T00:00:00"/>
        <d v="2024-06-25T00:00:00"/>
        <d v="2024-06-28T00:00:00"/>
        <d v="2024-07-02T00:00:00"/>
        <d v="2024-07-03T00:00:00"/>
        <d v="2024-07-05T00:00:00"/>
        <d v="2024-07-07T00:00:00"/>
        <d v="2024-07-09T00:00:00"/>
        <d v="2024-07-11T00:00:00"/>
        <d v="2024-07-12T00:00:00"/>
        <d v="2024-07-15T00:00:00"/>
        <d v="2024-07-16T00:00:00"/>
        <d v="2024-07-17T00:00:00"/>
        <d v="2024-07-19T00:00:00"/>
        <d v="2024-07-21T00:00:00"/>
        <d v="2024-07-22T00:00:00"/>
        <d v="2024-07-24T00:00:00"/>
        <d v="2024-07-25T00:00:00"/>
        <d v="2024-07-27T00:00:00"/>
        <d v="2024-07-28T00:00:00"/>
        <d v="2024-07-29T00:00:00"/>
        <d v="2024-08-02T00:00:00"/>
        <d v="2024-08-04T00:00:00"/>
        <d v="2024-08-12T00:00:00"/>
        <d v="2024-08-17T00:00:00"/>
        <d v="2024-08-19T00:00:00"/>
        <d v="2024-08-20T00:00:00"/>
        <d v="2024-08-25T00:00:00"/>
        <d v="2024-08-29T00:00:00"/>
        <d v="2024-08-30T00:00:00"/>
        <d v="2024-08-31T00:00:00"/>
        <d v="2024-09-01T00:00:00"/>
        <d v="2024-09-02T00:00:00"/>
        <d v="2024-09-05T00:00:00"/>
        <d v="2024-09-07T00:00:00"/>
        <d v="2024-09-09T00:00:00"/>
        <d v="2024-09-10T00:00:00"/>
        <d v="2024-09-11T00:00:00"/>
        <d v="2024-09-17T00:00:00"/>
        <d v="2024-09-21T00:00:00"/>
        <d v="2024-09-23T00:00:00"/>
        <d v="2024-09-25T00:00:00"/>
        <d v="2024-10-03T00:00:00"/>
        <d v="2024-10-05T00:00:00"/>
        <d v="2024-10-06T00:00:00"/>
        <d v="2024-10-08T00:00:00"/>
        <d v="2024-10-14T00:00:00"/>
        <d v="2024-10-18T00:00:00"/>
        <d v="2024-10-20T00:00:00"/>
        <d v="2024-10-25T00:00:00"/>
        <d v="2024-10-26T00:00:00"/>
        <d v="2024-10-27T00:00:00"/>
        <d v="2024-10-31T00:00:00"/>
        <d v="2024-11-03T00:00:00"/>
        <d v="2024-11-05T00:00:00"/>
        <d v="2024-11-07T00:00:00"/>
        <d v="2024-11-09T00:00:00"/>
        <d v="2024-11-10T00:00:00"/>
        <d v="2024-11-11T00:00:00"/>
        <d v="2024-11-15T00:00:00"/>
        <d v="2024-11-20T00:00:00"/>
        <d v="2024-11-21T00:00:00"/>
        <d v="2024-11-22T00:00:00"/>
        <d v="2024-11-23T00:00:00"/>
        <d v="2024-11-25T00:00:00"/>
        <d v="2024-11-26T00:00:00"/>
        <d v="2024-11-28T00:00:00"/>
        <d v="2024-11-29T00:00:00"/>
        <d v="2024-12-01T00:00:00"/>
        <d v="2024-12-02T00:00:00"/>
        <d v="2024-12-03T00:00:00"/>
        <d v="2024-12-04T00:00:00"/>
        <d v="2024-12-05T00:00:00"/>
        <d v="2024-12-06T00:00:00"/>
        <d v="2024-12-09T00:00:00"/>
        <d v="2024-12-12T00:00:00"/>
        <d v="2024-12-14T00:00:00"/>
        <d v="2024-12-15T00:00:00"/>
        <d v="2024-12-17T00:00:00"/>
        <d v="2024-12-18T00:00:00"/>
        <d v="2024-12-24T00:00:00"/>
        <d v="2024-12-26T00:00:00"/>
        <d v="2025-01-03T00:00:00"/>
        <d v="2025-01-04T00:00:00"/>
        <d v="2025-01-07T00:00:00"/>
        <d v="2025-01-10T00:00:00"/>
        <d v="2025-01-11T00:00:00"/>
        <d v="2025-01-12T00:00:00"/>
        <d v="2025-01-15T00:00:00"/>
        <d v="2025-01-19T00:00:00"/>
        <d v="2025-01-21T00:00:00"/>
        <d v="2025-01-22T00:00:00"/>
        <d v="2025-01-24T00:00:00"/>
        <d v="2025-01-28T00:00:00"/>
        <d v="2025-02-02T00:00:00"/>
        <d v="2025-02-04T00:00:00"/>
        <d v="2025-02-05T00:00:00"/>
        <d v="2025-02-06T00:00:00"/>
        <d v="2025-02-09T00:00:00"/>
        <d v="2025-02-10T00:00:00"/>
        <d v="2025-02-15T00:00:00"/>
        <d v="2025-02-16T00:00:00"/>
        <d v="2025-02-19T00:00:00"/>
        <d v="2025-02-20T00:00:00"/>
        <d v="2025-02-21T00:00:00"/>
        <d v="2025-02-22T00:00:00"/>
        <d v="2025-02-23T00:00:00"/>
        <d v="2025-02-24T00:00:00"/>
        <d v="2025-03-04T00:00:00"/>
        <d v="2025-03-07T00:00:00"/>
        <d v="2025-03-08T00:00:00"/>
        <d v="2025-03-15T00:00:00"/>
        <d v="2025-03-16T00:00:00"/>
        <d v="2025-03-20T00:00:00"/>
        <d v="2025-03-21T00:00:00"/>
        <d v="2025-03-22T00:00:00"/>
        <d v="2025-03-25T00:00:00"/>
        <d v="2025-03-27T00:00:00"/>
        <d v="2025-03-29T00:00:00"/>
        <d v="2025-03-31T00:00:00"/>
        <d v="2025-04-02T00:00:00"/>
        <d v="2025-04-03T00:00:00"/>
        <d v="2025-04-04T00:00:00"/>
        <d v="2025-04-07T00:00:00"/>
        <d v="2025-04-11T00:00:00"/>
        <d v="2025-04-12T00:00:00"/>
        <d v="2025-04-14T00:00:00"/>
        <d v="2025-04-23T00:00:00"/>
        <d v="2025-04-24T00:00:00"/>
        <d v="2025-04-27T00:00:00"/>
        <d v="2025-04-28T00:00:00"/>
        <d v="2025-04-30T00:00:00"/>
        <d v="2025-05-01T00:00:00"/>
        <d v="2025-05-03T00:00:00"/>
        <d v="2025-05-05T00:00:00"/>
        <d v="2025-05-08T00:00:00"/>
        <d v="2025-05-09T00:00:00"/>
        <d v="2025-05-12T00:00:00"/>
        <d v="2025-05-13T00:00:00"/>
        <d v="2025-05-15T00:00:00"/>
        <d v="2025-05-16T00:00:00"/>
        <d v="2025-05-19T00:00:00"/>
        <d v="2025-05-26T00:00:00"/>
        <d v="2025-05-27T00:00:00"/>
        <d v="2025-05-29T00:00:00"/>
        <d v="2025-05-31T00:00:00"/>
        <d v="2025-06-05T00:00:00"/>
        <d v="2025-06-14T00:00:00"/>
        <d v="2025-06-15T00:00:00"/>
        <d v="2025-06-19T00:00:00"/>
        <d v="2025-06-22T00:00:00"/>
        <d v="2025-06-26T00:00:00"/>
        <d v="2025-06-27T00:00:00"/>
        <d v="2025-06-30T00:00:00"/>
        <d v="2025-07-03T00:00:00"/>
        <d v="2025-07-04T00:00:00"/>
        <d v="2025-07-07T00:00:00"/>
        <d v="2025-07-11T00:00:00"/>
        <d v="2025-07-14T00:00:00"/>
        <d v="2025-07-15T00:00:00"/>
        <d v="2025-07-16T00:00:00"/>
        <d v="2025-07-18T00:00:00"/>
        <d v="2025-07-21T00:00:00"/>
        <d v="2025-07-23T00:00:00"/>
        <d v="2025-07-24T00:00:00"/>
        <d v="2025-07-25T00:00:00"/>
        <d v="2025-07-27T00:00:00"/>
        <d v="2025-07-29T00:00:00"/>
        <d v="2025-07-31T00:00:00"/>
        <d v="2025-08-02T00:00:00"/>
        <d v="2025-08-03T00:00:00"/>
        <d v="2025-08-04T00:00:00"/>
        <d v="2025-08-08T00:00:00"/>
        <d v="2025-08-09T00:00:00"/>
        <d v="2025-08-13T00:00:00"/>
        <d v="2025-08-17T00:00:00"/>
        <d v="2025-08-19T00:00:00"/>
        <d v="2025-08-21T00:00:00"/>
        <d v="2025-08-26T00:00:00"/>
        <d v="2025-08-29T00:00:00"/>
        <d v="2025-08-30T00:00:00"/>
        <d v="2025-08-31T00:00:00"/>
        <d v="2025-09-01T00:00:00"/>
        <d v="2025-09-04T00:00:00"/>
        <d v="2025-09-06T00:00:00"/>
        <d v="2025-09-07T00:00:00"/>
        <d v="2025-09-09T00:00:00"/>
        <d v="2025-09-10T00:00:00"/>
        <d v="2025-09-12T00:00:00"/>
        <d v="2025-09-17T00:00:00"/>
        <d v="2025-09-18T00:00:00"/>
        <d v="2025-09-19T00:00:00"/>
        <d v="2025-09-22T00:00:00"/>
        <d v="2025-09-23T00:00:00"/>
        <d v="2025-09-24T00:00:00"/>
        <d v="2025-09-27T00:00:00"/>
        <d v="2025-09-30T00:00:00"/>
        <d v="2025-10-01T00:00:00"/>
        <d v="2025-10-02T00:00:00"/>
        <d v="2025-10-04T00:00:00"/>
        <d v="2025-10-05T00:00:00"/>
        <d v="2025-10-06T00:00:00"/>
        <d v="2025-10-09T00:00:00"/>
        <d v="2025-10-12T00:00:00"/>
        <d v="2025-10-13T00:00:00"/>
        <d v="2025-10-14T00:00:00"/>
        <d v="2025-10-19T00:00:00"/>
        <d v="2025-10-22T00:00:00"/>
        <d v="2025-10-23T00:00:00"/>
        <d v="2025-10-25T00:00:00"/>
        <d v="2025-10-27T00:00:00"/>
        <d v="2025-10-29T00:00:00"/>
        <d v="2025-10-30T00:00:00"/>
        <d v="2025-11-02T00:00:00"/>
        <d v="2025-11-03T00:00:00"/>
        <d v="2025-11-06T00:00:00"/>
        <d v="2025-11-07T00:00:00"/>
        <d v="2025-11-10T00:00:00"/>
        <d v="2025-11-17T00:00:00"/>
        <d v="2025-11-19T00:00:00"/>
        <d v="2025-11-22T00:00:00"/>
        <d v="2025-11-23T00:00:00"/>
        <d v="2025-11-24T00:00:00"/>
        <d v="2025-11-27T00:00:00"/>
        <d v="2025-11-29T00:00:00"/>
        <d v="2025-12-01T00:00:00"/>
        <d v="2025-12-02T00:00:00"/>
        <d v="2025-12-05T00:00:00"/>
        <d v="2025-12-08T00:00:00"/>
        <d v="2025-12-09T00:00:00"/>
        <d v="2025-12-10T00:00:00"/>
        <d v="2025-12-11T00:00:00"/>
        <d v="2025-12-16T00:00:00"/>
        <d v="2025-12-22T00:00:00"/>
        <d v="2025-12-23T00:00:00"/>
        <d v="2025-12-28T00:00:00"/>
        <d v="2025-12-29T00:00:00"/>
        <d v="2025-12-30T00:00:00"/>
      </sharedItems>
      <fieldGroup par="23"/>
    </cacheField>
    <cacheField name="Year" numFmtId="0">
      <sharedItems containsSemiMixedTypes="0" containsString="0" containsNumber="1" containsInteger="1" minValue="2021" maxValue="2025" count="5">
        <n v="2021"/>
        <n v="2022"/>
        <n v="2023"/>
        <n v="2024"/>
        <n v="2025"/>
      </sharedItems>
    </cacheField>
    <cacheField name="Customer ID" numFmtId="0">
      <sharedItems/>
    </cacheField>
    <cacheField name="Customer Name" numFmtId="0">
      <sharedItems/>
    </cacheField>
    <cacheField name="Region" numFmtId="0">
      <sharedItems count="4">
        <s v="North"/>
        <s v="South"/>
        <s v="West"/>
        <s v="East"/>
      </sharedItems>
    </cacheField>
    <cacheField name="City" numFmtId="0">
      <sharedItems/>
    </cacheField>
    <cacheField name="Product ID" numFmtId="0">
      <sharedItems/>
    </cacheField>
    <cacheField name="Product Name" numFmtId="0">
      <sharedItems count="15">
        <s v="Notebook Set"/>
        <s v="Webcam HD"/>
        <s v="Desk Lamp"/>
        <s v="Standing Desk"/>
        <s v="File Cabinet"/>
        <s v="Laptop Pro 15"/>
        <s v="Pen Set"/>
        <s v="Headphones Pro"/>
        <s v="Office Chair"/>
        <s v="Wireless Mouse"/>
        <s v="Tablet 10&quot;"/>
        <s v="Whiteboard"/>
        <s v="Monitor 27&quot;"/>
        <s v="Mechanical Keyboard"/>
        <s v="USB-C Hub"/>
      </sharedItems>
    </cacheField>
    <cacheField name="Category" numFmtId="0">
      <sharedItems count="3">
        <s v="Stationery"/>
        <s v="Electronics"/>
        <s v="Furniture"/>
      </sharedItems>
    </cacheField>
    <cacheField name="Sales Rep" numFmtId="0">
      <sharedItems/>
    </cacheField>
    <cacheField name="Channel" numFmtId="0">
      <sharedItems count="5">
        <s v="Phone"/>
        <s v="Partner"/>
        <s v="Direct"/>
        <s v="Online"/>
        <s v="Retail"/>
      </sharedItems>
    </cacheField>
    <cacheField name="Qty" numFmtId="0">
      <sharedItems containsSemiMixedTypes="0" containsString="0" containsNumber="1" containsInteger="1" minValue="1" maxValue="30"/>
    </cacheField>
    <cacheField name="Unit Price ($)" numFmtId="0">
      <sharedItems containsSemiMixedTypes="0" containsString="0" containsNumber="1" minValue="5.99" maxValue="1199.99"/>
    </cacheField>
    <cacheField name="Gross Sales ($)" numFmtId="0">
      <sharedItems containsSemiMixedTypes="0" containsString="0" containsNumber="1" minValue="5.99" maxValue="35999.699999999997"/>
    </cacheField>
    <cacheField name="Discount %" numFmtId="0">
      <sharedItems containsSemiMixedTypes="0" containsString="0" containsNumber="1" minValue="0" maxValue="0.16"/>
    </cacheField>
    <cacheField name="Discount ($)" numFmtId="0">
      <sharedItems containsSemiMixedTypes="0" containsString="0" containsNumber="1" minValue="0" maxValue="5759.95"/>
    </cacheField>
    <cacheField name="Net Sales ($)" numFmtId="0">
      <sharedItems containsSemiMixedTypes="0" containsString="0" containsNumber="1" minValue="5.51" maxValue="33119.72"/>
    </cacheField>
    <cacheField name="Tax ($)" numFmtId="0">
      <sharedItems containsSemiMixedTypes="0" containsString="0" containsNumber="1" minValue="0.44" maxValue="2649.58"/>
    </cacheField>
    <cacheField name="Total ($)" numFmtId="0">
      <sharedItems containsSemiMixedTypes="0" containsString="0" containsNumber="1" minValue="0" maxValue="35769.300000000003"/>
    </cacheField>
    <cacheField name="Status" numFmtId="0">
      <sharedItems count="3">
        <s v="Returned"/>
        <s v="Completed"/>
        <s v="Pending"/>
      </sharedItems>
    </cacheField>
    <cacheField name="Months (Date)" numFmtId="0" databaseField="0">
      <fieldGroup base="1">
        <rangePr groupBy="months" startDate="2021-01-01T00:00:00" endDate="2025-12-31T00:00:00"/>
        <groupItems count="14">
          <s v="&lt;1/1/2021"/>
          <s v="Jan"/>
          <s v="Feb"/>
          <s v="Mar"/>
          <s v="Apr"/>
          <s v="May"/>
          <s v="Jun"/>
          <s v="Jul"/>
          <s v="Aug"/>
          <s v="Sep"/>
          <s v="Oct"/>
          <s v="Nov"/>
          <s v="Dec"/>
          <s v="&gt;12/31/2025"/>
        </groupItems>
      </fieldGroup>
    </cacheField>
    <cacheField name="Quarters (Date)" numFmtId="0" databaseField="0">
      <fieldGroup base="1">
        <rangePr groupBy="quarters" startDate="2021-01-01T00:00:00" endDate="2025-12-31T00:00:00"/>
        <groupItems count="6">
          <s v="&lt;1/1/2021"/>
          <s v="Qtr1"/>
          <s v="Qtr2"/>
          <s v="Qtr3"/>
          <s v="Qtr4"/>
          <s v="&gt;12/31/2025"/>
        </groupItems>
      </fieldGroup>
    </cacheField>
    <cacheField name="Years (Date)" numFmtId="0" databaseField="0">
      <fieldGroup base="1">
        <rangePr groupBy="years" startDate="2021-01-01T00:00:00" endDate="2025-12-31T00:00:00"/>
        <groupItems count="7">
          <s v="&lt;1/1/2021"/>
          <s v="2021"/>
          <s v="2022"/>
          <s v="2023"/>
          <s v="2024"/>
          <s v="2025"/>
          <s v="&gt;12/31/2025"/>
        </groupItems>
      </fieldGroup>
    </cacheField>
    <cacheField name="Field1" numFmtId="0" formula="'Gross Sales ($)'-'Discount ($)'" databaseField="0"/>
  </cacheFields>
  <extLst>
    <ext xmlns:x14="http://schemas.microsoft.com/office/spreadsheetml/2009/9/main" uri="{725AE2AE-9491-48be-B2B4-4EB974FC3084}">
      <x14:pivotCacheDefinition pivotCacheId="9103734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2">
  <r>
    <s v="TXN-00028"/>
    <x v="0"/>
    <x v="0"/>
    <s v="C013"/>
    <s v="Maverick Systems"/>
    <x v="0"/>
    <s v="Minneapolis"/>
    <s v="PRD-006"/>
    <x v="0"/>
    <x v="0"/>
    <s v="Bob Chen"/>
    <x v="0"/>
    <n v="30"/>
    <n v="8.99"/>
    <n v="269.7"/>
    <n v="0.08"/>
    <n v="21.58"/>
    <n v="248.12"/>
    <n v="19.850000000000001"/>
    <n v="0"/>
    <x v="0"/>
  </r>
  <r>
    <s v="TXN-00025"/>
    <x v="1"/>
    <x v="0"/>
    <s v="C002"/>
    <s v="Blue Ridge Corp"/>
    <x v="1"/>
    <s v="Atlanta"/>
    <s v="PRD-006"/>
    <x v="0"/>
    <x v="0"/>
    <s v="Carol Davis"/>
    <x v="1"/>
    <n v="15"/>
    <n v="8.99"/>
    <n v="134.85"/>
    <n v="0.13"/>
    <n v="17.53"/>
    <n v="117.32"/>
    <n v="9.39"/>
    <n v="126.71"/>
    <x v="1"/>
  </r>
  <r>
    <s v="TXN-00023"/>
    <x v="2"/>
    <x v="0"/>
    <s v="C008"/>
    <s v="Horizon Group"/>
    <x v="2"/>
    <s v="Seattle"/>
    <s v="PRD-010"/>
    <x v="1"/>
    <x v="1"/>
    <s v="Eva Patel"/>
    <x v="2"/>
    <n v="28"/>
    <n v="89.99"/>
    <n v="2519.7199999999998"/>
    <n v="0.08"/>
    <n v="201.58"/>
    <n v="2318.14"/>
    <n v="185.45"/>
    <n v="0"/>
    <x v="0"/>
  </r>
  <r>
    <s v="TXN-00142"/>
    <x v="3"/>
    <x v="0"/>
    <s v="C005"/>
    <s v="Eagle Tech"/>
    <x v="0"/>
    <s v="Chicago"/>
    <s v="PRD-009"/>
    <x v="2"/>
    <x v="2"/>
    <s v="Bob Chen"/>
    <x v="1"/>
    <n v="28"/>
    <n v="39.99"/>
    <n v="1119.72"/>
    <n v="0.16"/>
    <n v="179.16"/>
    <n v="940.56"/>
    <n v="75.239999999999995"/>
    <n v="1015.8"/>
    <x v="1"/>
  </r>
  <r>
    <s v="TXN-00113"/>
    <x v="4"/>
    <x v="0"/>
    <s v="C013"/>
    <s v="Maverick Systems"/>
    <x v="0"/>
    <s v="Minneapolis"/>
    <s v="PRD-005"/>
    <x v="3"/>
    <x v="2"/>
    <s v="David Kim"/>
    <x v="2"/>
    <n v="16"/>
    <n v="599.99"/>
    <n v="9599.84"/>
    <n v="0.05"/>
    <n v="479.99"/>
    <n v="9119.85"/>
    <n v="729.59"/>
    <n v="9849.44"/>
    <x v="1"/>
  </r>
  <r>
    <s v="TXN-00115"/>
    <x v="5"/>
    <x v="0"/>
    <s v="C011"/>
    <s v="Keystone Ventures"/>
    <x v="3"/>
    <s v="Washington DC"/>
    <s v="PRD-013"/>
    <x v="4"/>
    <x v="2"/>
    <s v="Alice Morgan"/>
    <x v="3"/>
    <n v="7"/>
    <n v="229.99"/>
    <n v="1609.93"/>
    <n v="0"/>
    <n v="0"/>
    <n v="1609.93"/>
    <n v="128.79"/>
    <n v="1738.72"/>
    <x v="1"/>
  </r>
  <r>
    <s v="TXN-00003"/>
    <x v="6"/>
    <x v="0"/>
    <s v="C002"/>
    <s v="Blue Ridge Corp"/>
    <x v="1"/>
    <s v="Atlanta"/>
    <s v="PRD-001"/>
    <x v="5"/>
    <x v="1"/>
    <s v="Bob Chen"/>
    <x v="4"/>
    <n v="20"/>
    <n v="1199.99"/>
    <n v="23999.8"/>
    <n v="0.08"/>
    <n v="1919.98"/>
    <n v="22079.82"/>
    <n v="1766.39"/>
    <n v="0"/>
    <x v="0"/>
  </r>
  <r>
    <s v="TXN-00109"/>
    <x v="6"/>
    <x v="0"/>
    <s v="C003"/>
    <s v="Crestview Ltd"/>
    <x v="3"/>
    <s v="Boston"/>
    <s v="PRD-012"/>
    <x v="6"/>
    <x v="0"/>
    <s v="David Kim"/>
    <x v="4"/>
    <n v="18"/>
    <n v="5.99"/>
    <n v="107.82"/>
    <n v="0.05"/>
    <n v="5.39"/>
    <n v="102.43"/>
    <n v="8.19"/>
    <n v="0"/>
    <x v="0"/>
  </r>
  <r>
    <s v="TXN-00002"/>
    <x v="7"/>
    <x v="0"/>
    <s v="C012"/>
    <s v="Luminary Co"/>
    <x v="1"/>
    <s v="Dallas"/>
    <s v="PRD-011"/>
    <x v="7"/>
    <x v="1"/>
    <s v="Eva Patel"/>
    <x v="3"/>
    <n v="14"/>
    <n v="249.99"/>
    <n v="3499.86"/>
    <n v="0.05"/>
    <n v="174.99"/>
    <n v="3324.87"/>
    <n v="265.99"/>
    <n v="0"/>
    <x v="0"/>
  </r>
  <r>
    <s v="TXN-00015"/>
    <x v="7"/>
    <x v="0"/>
    <s v="C009"/>
    <s v="Ironclad Partners"/>
    <x v="0"/>
    <s v="Detroit"/>
    <s v="PRD-012"/>
    <x v="6"/>
    <x v="0"/>
    <s v="Bob Chen"/>
    <x v="2"/>
    <n v="8"/>
    <n v="5.99"/>
    <n v="47.92"/>
    <n v="0"/>
    <n v="0"/>
    <n v="47.92"/>
    <n v="3.83"/>
    <n v="51.75"/>
    <x v="1"/>
  </r>
  <r>
    <s v="TXN-00037"/>
    <x v="7"/>
    <x v="0"/>
    <s v="C001"/>
    <s v="Apex Solutions"/>
    <x v="0"/>
    <s v="New York"/>
    <s v="PRD-004"/>
    <x v="8"/>
    <x v="2"/>
    <s v="Alice Morgan"/>
    <x v="3"/>
    <n v="3"/>
    <n v="349.99"/>
    <n v="1049.97"/>
    <n v="0"/>
    <n v="0"/>
    <n v="1049.97"/>
    <n v="84"/>
    <n v="1133.97"/>
    <x v="1"/>
  </r>
  <r>
    <s v="TXN-00007"/>
    <x v="8"/>
    <x v="0"/>
    <s v="C006"/>
    <s v="Foxfire Inc"/>
    <x v="1"/>
    <s v="Miami"/>
    <s v="PRD-002"/>
    <x v="9"/>
    <x v="1"/>
    <s v="Carol Davis"/>
    <x v="0"/>
    <n v="26"/>
    <n v="29.99"/>
    <n v="779.74"/>
    <n v="0.08"/>
    <n v="62.38"/>
    <n v="717.36"/>
    <n v="57.39"/>
    <n v="774.75"/>
    <x v="1"/>
  </r>
  <r>
    <s v="TXN-00091"/>
    <x v="9"/>
    <x v="0"/>
    <s v="C005"/>
    <s v="Eagle Tech"/>
    <x v="0"/>
    <s v="Chicago"/>
    <s v="PRD-011"/>
    <x v="7"/>
    <x v="1"/>
    <s v="Bob Chen"/>
    <x v="4"/>
    <n v="1"/>
    <n v="249.99"/>
    <n v="249.99"/>
    <n v="0"/>
    <n v="0"/>
    <n v="249.99"/>
    <n v="20"/>
    <n v="269.99"/>
    <x v="1"/>
  </r>
  <r>
    <s v="TXN-00213"/>
    <x v="9"/>
    <x v="0"/>
    <s v="C008"/>
    <s v="Horizon Group"/>
    <x v="2"/>
    <s v="Seattle"/>
    <s v="PRD-014"/>
    <x v="10"/>
    <x v="1"/>
    <s v="Carol Davis"/>
    <x v="1"/>
    <n v="5"/>
    <n v="479.99"/>
    <n v="2399.9499999999998"/>
    <n v="0.08"/>
    <n v="192"/>
    <n v="2207.9499999999998"/>
    <n v="176.64"/>
    <n v="2384.59"/>
    <x v="1"/>
  </r>
  <r>
    <s v="TXN-00045"/>
    <x v="10"/>
    <x v="0"/>
    <s v="C015"/>
    <s v="Orbit Industries"/>
    <x v="1"/>
    <s v="Houston"/>
    <s v="PRD-014"/>
    <x v="10"/>
    <x v="1"/>
    <s v="Alice Morgan"/>
    <x v="1"/>
    <n v="4"/>
    <n v="479.99"/>
    <n v="1919.96"/>
    <n v="0.08"/>
    <n v="153.6"/>
    <n v="1766.36"/>
    <n v="141.31"/>
    <n v="0"/>
    <x v="0"/>
  </r>
  <r>
    <s v="TXN-00168"/>
    <x v="11"/>
    <x v="0"/>
    <s v="C006"/>
    <s v="Foxfire Inc"/>
    <x v="1"/>
    <s v="Miami"/>
    <s v="PRD-009"/>
    <x v="2"/>
    <x v="2"/>
    <s v="Eva Patel"/>
    <x v="1"/>
    <n v="15"/>
    <n v="39.99"/>
    <n v="599.85"/>
    <n v="0.13"/>
    <n v="77.98"/>
    <n v="521.87"/>
    <n v="41.75"/>
    <n v="563.62"/>
    <x v="2"/>
  </r>
  <r>
    <s v="TXN-00141"/>
    <x v="12"/>
    <x v="0"/>
    <s v="C012"/>
    <s v="Luminary Co"/>
    <x v="1"/>
    <s v="Dallas"/>
    <s v="PRD-001"/>
    <x v="5"/>
    <x v="1"/>
    <s v="Eva Patel"/>
    <x v="4"/>
    <n v="2"/>
    <n v="1199.99"/>
    <n v="2399.98"/>
    <n v="0"/>
    <n v="0"/>
    <n v="2399.98"/>
    <n v="192"/>
    <n v="2591.98"/>
    <x v="1"/>
  </r>
  <r>
    <s v="TXN-00155"/>
    <x v="13"/>
    <x v="0"/>
    <s v="C011"/>
    <s v="Keystone Ventures"/>
    <x v="3"/>
    <s v="Washington DC"/>
    <s v="PRD-004"/>
    <x v="8"/>
    <x v="2"/>
    <s v="Bob Chen"/>
    <x v="2"/>
    <n v="3"/>
    <n v="349.99"/>
    <n v="1049.97"/>
    <n v="0"/>
    <n v="0"/>
    <n v="1049.97"/>
    <n v="84"/>
    <n v="1133.97"/>
    <x v="1"/>
  </r>
  <r>
    <s v="TXN-00219"/>
    <x v="14"/>
    <x v="0"/>
    <s v="C011"/>
    <s v="Keystone Ventures"/>
    <x v="3"/>
    <s v="Washington DC"/>
    <s v="PRD-002"/>
    <x v="9"/>
    <x v="1"/>
    <s v="Carol Davis"/>
    <x v="0"/>
    <n v="12"/>
    <n v="29.99"/>
    <n v="359.88"/>
    <n v="0.05"/>
    <n v="17.989999999999998"/>
    <n v="341.89"/>
    <n v="27.35"/>
    <n v="369.24"/>
    <x v="2"/>
  </r>
  <r>
    <s v="TXN-00059"/>
    <x v="15"/>
    <x v="0"/>
    <s v="C009"/>
    <s v="Ironclad Partners"/>
    <x v="0"/>
    <s v="Detroit"/>
    <s v="PRD-004"/>
    <x v="8"/>
    <x v="2"/>
    <s v="Carol Davis"/>
    <x v="4"/>
    <n v="29"/>
    <n v="349.99"/>
    <n v="10149.709999999999"/>
    <n v="0.08"/>
    <n v="811.98"/>
    <n v="9337.73"/>
    <n v="747.02"/>
    <n v="10084.75"/>
    <x v="1"/>
  </r>
  <r>
    <s v="TXN-00076"/>
    <x v="15"/>
    <x v="0"/>
    <s v="C001"/>
    <s v="Apex Solutions"/>
    <x v="0"/>
    <s v="New York"/>
    <s v="PRD-004"/>
    <x v="8"/>
    <x v="2"/>
    <s v="Bob Chen"/>
    <x v="1"/>
    <n v="9"/>
    <n v="349.99"/>
    <n v="3149.91"/>
    <n v="0.08"/>
    <n v="251.99"/>
    <n v="2897.92"/>
    <n v="231.83"/>
    <n v="3129.75"/>
    <x v="1"/>
  </r>
  <r>
    <s v="TXN-00114"/>
    <x v="15"/>
    <x v="0"/>
    <s v="C009"/>
    <s v="Ironclad Partners"/>
    <x v="0"/>
    <s v="Detroit"/>
    <s v="PRD-012"/>
    <x v="6"/>
    <x v="0"/>
    <s v="Alice Morgan"/>
    <x v="2"/>
    <n v="21"/>
    <n v="5.99"/>
    <n v="125.79"/>
    <n v="0.08"/>
    <n v="10.06"/>
    <n v="115.73"/>
    <n v="9.26"/>
    <n v="124.99"/>
    <x v="1"/>
  </r>
  <r>
    <s v="TXN-00187"/>
    <x v="15"/>
    <x v="0"/>
    <s v="C015"/>
    <s v="Orbit Industries"/>
    <x v="1"/>
    <s v="Houston"/>
    <s v="PRD-012"/>
    <x v="6"/>
    <x v="0"/>
    <s v="David Kim"/>
    <x v="0"/>
    <n v="20"/>
    <n v="5.99"/>
    <n v="119.8"/>
    <n v="0.08"/>
    <n v="9.58"/>
    <n v="110.22"/>
    <n v="8.82"/>
    <n v="119.04"/>
    <x v="1"/>
  </r>
  <r>
    <s v="TXN-00057"/>
    <x v="16"/>
    <x v="0"/>
    <s v="C011"/>
    <s v="Keystone Ventures"/>
    <x v="3"/>
    <s v="Washington DC"/>
    <s v="PRD-011"/>
    <x v="7"/>
    <x v="1"/>
    <s v="Carol Davis"/>
    <x v="1"/>
    <n v="30"/>
    <n v="249.99"/>
    <n v="7499.7"/>
    <n v="0.16"/>
    <n v="1199.95"/>
    <n v="6299.75"/>
    <n v="503.98"/>
    <n v="6803.73"/>
    <x v="1"/>
  </r>
  <r>
    <s v="TXN-00184"/>
    <x v="17"/>
    <x v="0"/>
    <s v="C012"/>
    <s v="Luminary Co"/>
    <x v="1"/>
    <s v="Dallas"/>
    <s v="PRD-001"/>
    <x v="5"/>
    <x v="1"/>
    <s v="Bob Chen"/>
    <x v="1"/>
    <n v="5"/>
    <n v="1199.99"/>
    <n v="5999.95"/>
    <n v="0.08"/>
    <n v="480"/>
    <n v="5519.95"/>
    <n v="441.6"/>
    <n v="5961.55"/>
    <x v="2"/>
  </r>
  <r>
    <s v="TXN-00110"/>
    <x v="18"/>
    <x v="0"/>
    <s v="C007"/>
    <s v="Global Dynamics"/>
    <x v="3"/>
    <s v="Philadelphia"/>
    <s v="PRD-015"/>
    <x v="11"/>
    <x v="0"/>
    <s v="Eva Patel"/>
    <x v="0"/>
    <n v="1"/>
    <n v="79.989999999999995"/>
    <n v="79.989999999999995"/>
    <n v="0"/>
    <n v="0"/>
    <n v="79.989999999999995"/>
    <n v="6.4"/>
    <n v="86.39"/>
    <x v="2"/>
  </r>
  <r>
    <s v="TXN-00165"/>
    <x v="19"/>
    <x v="0"/>
    <s v="C005"/>
    <s v="Eagle Tech"/>
    <x v="0"/>
    <s v="Chicago"/>
    <s v="PRD-008"/>
    <x v="12"/>
    <x v="1"/>
    <s v="David Kim"/>
    <x v="0"/>
    <n v="15"/>
    <n v="399.99"/>
    <n v="5999.85"/>
    <n v="0.05"/>
    <n v="299.99"/>
    <n v="5699.86"/>
    <n v="455.99"/>
    <n v="6155.85"/>
    <x v="1"/>
  </r>
  <r>
    <s v="TXN-00040"/>
    <x v="20"/>
    <x v="0"/>
    <s v="C008"/>
    <s v="Horizon Group"/>
    <x v="2"/>
    <s v="Seattle"/>
    <s v="PRD-010"/>
    <x v="1"/>
    <x v="1"/>
    <s v="Bob Chen"/>
    <x v="1"/>
    <n v="7"/>
    <n v="89.99"/>
    <n v="629.92999999999995"/>
    <n v="0.08"/>
    <n v="50.39"/>
    <n v="579.54"/>
    <n v="46.36"/>
    <n v="625.9"/>
    <x v="1"/>
  </r>
  <r>
    <s v="TXN-00216"/>
    <x v="21"/>
    <x v="0"/>
    <s v="C007"/>
    <s v="Global Dynamics"/>
    <x v="3"/>
    <s v="Philadelphia"/>
    <s v="PRD-009"/>
    <x v="2"/>
    <x v="2"/>
    <s v="Eva Patel"/>
    <x v="4"/>
    <n v="21"/>
    <n v="39.99"/>
    <n v="839.79"/>
    <n v="0.08"/>
    <n v="67.180000000000007"/>
    <n v="772.61"/>
    <n v="61.81"/>
    <n v="834.42"/>
    <x v="1"/>
  </r>
  <r>
    <s v="TXN-00139"/>
    <x v="22"/>
    <x v="0"/>
    <s v="C012"/>
    <s v="Luminary Co"/>
    <x v="1"/>
    <s v="Dallas"/>
    <s v="PRD-005"/>
    <x v="3"/>
    <x v="2"/>
    <s v="Eva Patel"/>
    <x v="0"/>
    <n v="10"/>
    <n v="599.99"/>
    <n v="5999.9"/>
    <n v="0.05"/>
    <n v="300"/>
    <n v="5699.9"/>
    <n v="455.99"/>
    <n v="0"/>
    <x v="0"/>
  </r>
  <r>
    <s v="TXN-00001"/>
    <x v="23"/>
    <x v="0"/>
    <s v="C001"/>
    <s v="Apex Solutions"/>
    <x v="0"/>
    <s v="New York"/>
    <s v="PRD-002"/>
    <x v="9"/>
    <x v="1"/>
    <s v="Carol Davis"/>
    <x v="4"/>
    <n v="5"/>
    <n v="29.99"/>
    <n v="149.94999999999999"/>
    <n v="0"/>
    <n v="0"/>
    <n v="149.94999999999999"/>
    <n v="12"/>
    <n v="161.94999999999999"/>
    <x v="1"/>
  </r>
  <r>
    <s v="TXN-00026"/>
    <x v="24"/>
    <x v="0"/>
    <s v="C015"/>
    <s v="Orbit Industries"/>
    <x v="1"/>
    <s v="Houston"/>
    <s v="PRD-012"/>
    <x v="6"/>
    <x v="0"/>
    <s v="Carol Davis"/>
    <x v="0"/>
    <n v="17"/>
    <n v="5.99"/>
    <n v="101.83"/>
    <n v="0.05"/>
    <n v="5.09"/>
    <n v="96.74"/>
    <n v="7.74"/>
    <n v="104.48"/>
    <x v="1"/>
  </r>
  <r>
    <s v="TXN-00062"/>
    <x v="24"/>
    <x v="0"/>
    <s v="C015"/>
    <s v="Orbit Industries"/>
    <x v="1"/>
    <s v="Houston"/>
    <s v="PRD-005"/>
    <x v="3"/>
    <x v="2"/>
    <s v="Alice Morgan"/>
    <x v="4"/>
    <n v="4"/>
    <n v="599.99"/>
    <n v="2399.96"/>
    <n v="0"/>
    <n v="0"/>
    <n v="2399.96"/>
    <n v="192"/>
    <n v="2591.96"/>
    <x v="1"/>
  </r>
  <r>
    <s v="TXN-00067"/>
    <x v="25"/>
    <x v="0"/>
    <s v="C008"/>
    <s v="Horizon Group"/>
    <x v="2"/>
    <s v="Seattle"/>
    <s v="PRD-012"/>
    <x v="6"/>
    <x v="0"/>
    <s v="Eva Patel"/>
    <x v="1"/>
    <n v="1"/>
    <n v="5.99"/>
    <n v="5.99"/>
    <n v="0.08"/>
    <n v="0.48"/>
    <n v="5.51"/>
    <n v="0.44"/>
    <n v="0"/>
    <x v="0"/>
  </r>
  <r>
    <s v="TXN-00116"/>
    <x v="26"/>
    <x v="0"/>
    <s v="C003"/>
    <s v="Crestview Ltd"/>
    <x v="3"/>
    <s v="Boston"/>
    <s v="PRD-010"/>
    <x v="1"/>
    <x v="1"/>
    <s v="Bob Chen"/>
    <x v="4"/>
    <n v="22"/>
    <n v="89.99"/>
    <n v="1979.78"/>
    <n v="0.08"/>
    <n v="158.38"/>
    <n v="1821.4"/>
    <n v="145.71"/>
    <n v="1967.11"/>
    <x v="1"/>
  </r>
  <r>
    <s v="TXN-00083"/>
    <x v="27"/>
    <x v="0"/>
    <s v="C006"/>
    <s v="Foxfire Inc"/>
    <x v="1"/>
    <s v="Miami"/>
    <s v="PRD-015"/>
    <x v="11"/>
    <x v="0"/>
    <s v="Eva Patel"/>
    <x v="2"/>
    <n v="28"/>
    <n v="79.989999999999995"/>
    <n v="2239.7199999999998"/>
    <n v="0.08"/>
    <n v="179.18"/>
    <n v="2060.54"/>
    <n v="164.84"/>
    <n v="2225.38"/>
    <x v="2"/>
  </r>
  <r>
    <s v="TXN-00031"/>
    <x v="28"/>
    <x v="0"/>
    <s v="C002"/>
    <s v="Blue Ridge Corp"/>
    <x v="1"/>
    <s v="Atlanta"/>
    <s v="PRD-002"/>
    <x v="9"/>
    <x v="1"/>
    <s v="David Kim"/>
    <x v="3"/>
    <n v="25"/>
    <n v="29.99"/>
    <n v="749.75"/>
    <n v="0.08"/>
    <n v="59.98"/>
    <n v="689.77"/>
    <n v="55.18"/>
    <n v="0"/>
    <x v="0"/>
  </r>
  <r>
    <s v="TXN-00056"/>
    <x v="29"/>
    <x v="0"/>
    <s v="C011"/>
    <s v="Keystone Ventures"/>
    <x v="3"/>
    <s v="Washington DC"/>
    <s v="PRD-004"/>
    <x v="8"/>
    <x v="2"/>
    <s v="Carol Davis"/>
    <x v="4"/>
    <n v="13"/>
    <n v="349.99"/>
    <n v="4549.87"/>
    <n v="0.05"/>
    <n v="227.49"/>
    <n v="4322.38"/>
    <n v="345.79"/>
    <n v="4668.17"/>
    <x v="1"/>
  </r>
  <r>
    <s v="TXN-00175"/>
    <x v="30"/>
    <x v="0"/>
    <s v="C004"/>
    <s v="Delta Enterprises"/>
    <x v="2"/>
    <s v="Los Angeles"/>
    <s v="PRD-007"/>
    <x v="13"/>
    <x v="1"/>
    <s v="Eva Patel"/>
    <x v="0"/>
    <n v="29"/>
    <n v="129.99"/>
    <n v="3769.71"/>
    <n v="0.08"/>
    <n v="301.58"/>
    <n v="3468.13"/>
    <n v="277.45"/>
    <n v="3745.58"/>
    <x v="2"/>
  </r>
  <r>
    <s v="TXN-00207"/>
    <x v="31"/>
    <x v="0"/>
    <s v="C014"/>
    <s v="Nexus Trading"/>
    <x v="2"/>
    <s v="Denver"/>
    <s v="PRD-012"/>
    <x v="6"/>
    <x v="0"/>
    <s v="Carol Davis"/>
    <x v="3"/>
    <n v="3"/>
    <n v="5.99"/>
    <n v="17.97"/>
    <n v="0"/>
    <n v="0"/>
    <n v="17.97"/>
    <n v="1.44"/>
    <n v="19.41"/>
    <x v="1"/>
  </r>
  <r>
    <s v="TXN-00174"/>
    <x v="32"/>
    <x v="0"/>
    <s v="C008"/>
    <s v="Horizon Group"/>
    <x v="2"/>
    <s v="Seattle"/>
    <s v="PRD-014"/>
    <x v="10"/>
    <x v="1"/>
    <s v="David Kim"/>
    <x v="4"/>
    <n v="18"/>
    <n v="479.99"/>
    <n v="8639.82"/>
    <n v="0.05"/>
    <n v="431.99"/>
    <n v="8207.83"/>
    <n v="656.63"/>
    <n v="8864.4599999999991"/>
    <x v="1"/>
  </r>
  <r>
    <s v="TXN-00093"/>
    <x v="33"/>
    <x v="0"/>
    <s v="C004"/>
    <s v="Delta Enterprises"/>
    <x v="2"/>
    <s v="Los Angeles"/>
    <s v="PRD-010"/>
    <x v="1"/>
    <x v="1"/>
    <s v="David Kim"/>
    <x v="1"/>
    <n v="8"/>
    <n v="89.99"/>
    <n v="719.92"/>
    <n v="0.08"/>
    <n v="57.59"/>
    <n v="662.33"/>
    <n v="52.99"/>
    <n v="715.32"/>
    <x v="1"/>
  </r>
  <r>
    <s v="TXN-00027"/>
    <x v="34"/>
    <x v="0"/>
    <s v="C011"/>
    <s v="Keystone Ventures"/>
    <x v="3"/>
    <s v="Washington DC"/>
    <s v="PRD-014"/>
    <x v="10"/>
    <x v="1"/>
    <s v="Carol Davis"/>
    <x v="0"/>
    <n v="7"/>
    <n v="479.99"/>
    <n v="3359.93"/>
    <n v="0"/>
    <n v="0"/>
    <n v="3359.93"/>
    <n v="268.79000000000002"/>
    <n v="0"/>
    <x v="0"/>
  </r>
  <r>
    <s v="TXN-00172"/>
    <x v="34"/>
    <x v="0"/>
    <s v="C015"/>
    <s v="Orbit Industries"/>
    <x v="1"/>
    <s v="Houston"/>
    <s v="PRD-014"/>
    <x v="10"/>
    <x v="1"/>
    <s v="Alice Morgan"/>
    <x v="1"/>
    <n v="21"/>
    <n v="479.99"/>
    <n v="10079.790000000001"/>
    <n v="0.16"/>
    <n v="1612.77"/>
    <n v="8467.02"/>
    <n v="677.36"/>
    <n v="9144.3799999999992"/>
    <x v="1"/>
  </r>
  <r>
    <s v="TXN-00071"/>
    <x v="35"/>
    <x v="0"/>
    <s v="C002"/>
    <s v="Blue Ridge Corp"/>
    <x v="1"/>
    <s v="Atlanta"/>
    <s v="PRD-011"/>
    <x v="7"/>
    <x v="1"/>
    <s v="Carol Davis"/>
    <x v="0"/>
    <n v="20"/>
    <n v="249.99"/>
    <n v="4999.8"/>
    <n v="0.08"/>
    <n v="399.98"/>
    <n v="4599.82"/>
    <n v="367.99"/>
    <n v="4967.8100000000004"/>
    <x v="1"/>
  </r>
  <r>
    <s v="TXN-00195"/>
    <x v="36"/>
    <x v="0"/>
    <s v="C015"/>
    <s v="Orbit Industries"/>
    <x v="1"/>
    <s v="Houston"/>
    <s v="PRD-001"/>
    <x v="5"/>
    <x v="1"/>
    <s v="David Kim"/>
    <x v="2"/>
    <n v="18"/>
    <n v="1199.99"/>
    <n v="21599.82"/>
    <n v="0.05"/>
    <n v="1079.99"/>
    <n v="20519.830000000002"/>
    <n v="1641.59"/>
    <n v="22161.42"/>
    <x v="2"/>
  </r>
  <r>
    <s v="TXN-00021"/>
    <x v="37"/>
    <x v="0"/>
    <s v="C002"/>
    <s v="Blue Ridge Corp"/>
    <x v="1"/>
    <s v="Atlanta"/>
    <s v="PRD-008"/>
    <x v="12"/>
    <x v="1"/>
    <s v="Alice Morgan"/>
    <x v="3"/>
    <n v="21"/>
    <n v="399.99"/>
    <n v="8399.7900000000009"/>
    <n v="0.08"/>
    <n v="671.98"/>
    <n v="7727.81"/>
    <n v="618.22"/>
    <n v="8346.0300000000007"/>
    <x v="1"/>
  </r>
  <r>
    <s v="TXN-00098"/>
    <x v="37"/>
    <x v="0"/>
    <s v="C014"/>
    <s v="Nexus Trading"/>
    <x v="2"/>
    <s v="Denver"/>
    <s v="PRD-010"/>
    <x v="1"/>
    <x v="1"/>
    <s v="Eva Patel"/>
    <x v="1"/>
    <n v="15"/>
    <n v="89.99"/>
    <n v="1349.85"/>
    <n v="0.13"/>
    <n v="175.48"/>
    <n v="1174.3699999999999"/>
    <n v="93.95"/>
    <n v="0"/>
    <x v="0"/>
  </r>
  <r>
    <s v="TXN-00170"/>
    <x v="37"/>
    <x v="0"/>
    <s v="C002"/>
    <s v="Blue Ridge Corp"/>
    <x v="1"/>
    <s v="Atlanta"/>
    <s v="PRD-008"/>
    <x v="12"/>
    <x v="1"/>
    <s v="Alice Morgan"/>
    <x v="0"/>
    <n v="23"/>
    <n v="399.99"/>
    <n v="9199.77"/>
    <n v="0.08"/>
    <n v="735.98"/>
    <n v="8463.7900000000009"/>
    <n v="677.1"/>
    <n v="9140.89"/>
    <x v="1"/>
  </r>
  <r>
    <s v="TXN-00066"/>
    <x v="38"/>
    <x v="0"/>
    <s v="C001"/>
    <s v="Apex Solutions"/>
    <x v="0"/>
    <s v="New York"/>
    <s v="PRD-001"/>
    <x v="5"/>
    <x v="1"/>
    <s v="Carol Davis"/>
    <x v="4"/>
    <n v="9"/>
    <n v="1199.99"/>
    <n v="10799.91"/>
    <n v="0"/>
    <n v="0"/>
    <n v="10799.91"/>
    <n v="863.99"/>
    <n v="11663.9"/>
    <x v="2"/>
  </r>
  <r>
    <s v="TXN-00161"/>
    <x v="39"/>
    <x v="0"/>
    <s v="C001"/>
    <s v="Apex Solutions"/>
    <x v="0"/>
    <s v="New York"/>
    <s v="PRD-010"/>
    <x v="1"/>
    <x v="1"/>
    <s v="Carol Davis"/>
    <x v="0"/>
    <n v="25"/>
    <n v="89.99"/>
    <n v="2249.75"/>
    <n v="0.08"/>
    <n v="179.98"/>
    <n v="2069.77"/>
    <n v="165.58"/>
    <n v="2235.35"/>
    <x v="1"/>
  </r>
  <r>
    <s v="TXN-00094"/>
    <x v="40"/>
    <x v="0"/>
    <s v="C012"/>
    <s v="Luminary Co"/>
    <x v="1"/>
    <s v="Dallas"/>
    <s v="PRD-011"/>
    <x v="7"/>
    <x v="1"/>
    <s v="Alice Morgan"/>
    <x v="3"/>
    <n v="8"/>
    <n v="249.99"/>
    <n v="1999.92"/>
    <n v="0"/>
    <n v="0"/>
    <n v="1999.92"/>
    <n v="159.99"/>
    <n v="2159.91"/>
    <x v="1"/>
  </r>
  <r>
    <s v="TXN-00143"/>
    <x v="41"/>
    <x v="0"/>
    <s v="C005"/>
    <s v="Eagle Tech"/>
    <x v="0"/>
    <s v="Chicago"/>
    <s v="PRD-010"/>
    <x v="1"/>
    <x v="1"/>
    <s v="David Kim"/>
    <x v="1"/>
    <n v="11"/>
    <n v="89.99"/>
    <n v="989.89"/>
    <n v="0.13"/>
    <n v="128.69"/>
    <n v="861.2"/>
    <n v="68.900000000000006"/>
    <n v="930.1"/>
    <x v="1"/>
  </r>
  <r>
    <s v="TXN-00167"/>
    <x v="42"/>
    <x v="0"/>
    <s v="C001"/>
    <s v="Apex Solutions"/>
    <x v="0"/>
    <s v="New York"/>
    <s v="PRD-014"/>
    <x v="10"/>
    <x v="1"/>
    <s v="Eva Patel"/>
    <x v="1"/>
    <n v="2"/>
    <n v="479.99"/>
    <n v="959.98"/>
    <n v="0.08"/>
    <n v="76.8"/>
    <n v="883.18"/>
    <n v="70.650000000000006"/>
    <n v="953.83"/>
    <x v="1"/>
  </r>
  <r>
    <s v="TXN-00131"/>
    <x v="43"/>
    <x v="0"/>
    <s v="C015"/>
    <s v="Orbit Industries"/>
    <x v="1"/>
    <s v="Houston"/>
    <s v="PRD-012"/>
    <x v="6"/>
    <x v="0"/>
    <s v="Carol Davis"/>
    <x v="0"/>
    <n v="17"/>
    <n v="5.99"/>
    <n v="101.83"/>
    <n v="0.05"/>
    <n v="5.09"/>
    <n v="96.74"/>
    <n v="7.74"/>
    <n v="104.48"/>
    <x v="1"/>
  </r>
  <r>
    <s v="TXN-00063"/>
    <x v="44"/>
    <x v="0"/>
    <s v="C009"/>
    <s v="Ironclad Partners"/>
    <x v="0"/>
    <s v="Detroit"/>
    <s v="PRD-012"/>
    <x v="6"/>
    <x v="0"/>
    <s v="Bob Chen"/>
    <x v="2"/>
    <n v="20"/>
    <n v="5.99"/>
    <n v="119.8"/>
    <n v="0.08"/>
    <n v="9.58"/>
    <n v="110.22"/>
    <n v="8.82"/>
    <n v="119.04"/>
    <x v="1"/>
  </r>
  <r>
    <s v="TXN-00129"/>
    <x v="45"/>
    <x v="0"/>
    <s v="C001"/>
    <s v="Apex Solutions"/>
    <x v="0"/>
    <s v="New York"/>
    <s v="PRD-006"/>
    <x v="0"/>
    <x v="0"/>
    <s v="David Kim"/>
    <x v="2"/>
    <n v="16"/>
    <n v="8.99"/>
    <n v="143.84"/>
    <n v="0.05"/>
    <n v="7.19"/>
    <n v="136.65"/>
    <n v="10.93"/>
    <n v="147.58000000000001"/>
    <x v="1"/>
  </r>
  <r>
    <s v="TXN-00149"/>
    <x v="45"/>
    <x v="0"/>
    <s v="C001"/>
    <s v="Apex Solutions"/>
    <x v="0"/>
    <s v="New York"/>
    <s v="PRD-010"/>
    <x v="1"/>
    <x v="1"/>
    <s v="Eva Patel"/>
    <x v="3"/>
    <n v="21"/>
    <n v="89.99"/>
    <n v="1889.79"/>
    <n v="0.08"/>
    <n v="151.18"/>
    <n v="1738.61"/>
    <n v="139.09"/>
    <n v="1877.7"/>
    <x v="1"/>
  </r>
  <r>
    <s v="TXN-00035"/>
    <x v="46"/>
    <x v="0"/>
    <s v="C015"/>
    <s v="Orbit Industries"/>
    <x v="1"/>
    <s v="Houston"/>
    <s v="PRD-008"/>
    <x v="12"/>
    <x v="1"/>
    <s v="Eva Patel"/>
    <x v="1"/>
    <n v="8"/>
    <n v="399.99"/>
    <n v="3199.92"/>
    <n v="0.08"/>
    <n v="255.99"/>
    <n v="2943.93"/>
    <n v="235.51"/>
    <n v="3179.44"/>
    <x v="1"/>
  </r>
  <r>
    <s v="TXN-00171"/>
    <x v="46"/>
    <x v="0"/>
    <s v="C009"/>
    <s v="Ironclad Partners"/>
    <x v="0"/>
    <s v="Detroit"/>
    <s v="PRD-005"/>
    <x v="3"/>
    <x v="2"/>
    <s v="Alice Morgan"/>
    <x v="0"/>
    <n v="3"/>
    <n v="599.99"/>
    <n v="1799.97"/>
    <n v="0"/>
    <n v="0"/>
    <n v="1799.97"/>
    <n v="144"/>
    <n v="1943.97"/>
    <x v="1"/>
  </r>
  <r>
    <s v="TXN-00075"/>
    <x v="47"/>
    <x v="0"/>
    <s v="C004"/>
    <s v="Delta Enterprises"/>
    <x v="2"/>
    <s v="Los Angeles"/>
    <s v="PRD-004"/>
    <x v="8"/>
    <x v="2"/>
    <s v="David Kim"/>
    <x v="2"/>
    <n v="27"/>
    <n v="349.99"/>
    <n v="9449.73"/>
    <n v="0.08"/>
    <n v="755.98"/>
    <n v="8693.75"/>
    <n v="695.5"/>
    <n v="9389.25"/>
    <x v="1"/>
  </r>
  <r>
    <s v="TXN-00102"/>
    <x v="48"/>
    <x v="0"/>
    <s v="C015"/>
    <s v="Orbit Industries"/>
    <x v="1"/>
    <s v="Houston"/>
    <s v="PRD-006"/>
    <x v="0"/>
    <x v="0"/>
    <s v="Eva Patel"/>
    <x v="3"/>
    <n v="5"/>
    <n v="8.99"/>
    <n v="44.95"/>
    <n v="0"/>
    <n v="0"/>
    <n v="44.95"/>
    <n v="3.6"/>
    <n v="48.55"/>
    <x v="1"/>
  </r>
  <r>
    <s v="TXN-00136"/>
    <x v="48"/>
    <x v="0"/>
    <s v="C006"/>
    <s v="Foxfire Inc"/>
    <x v="1"/>
    <s v="Miami"/>
    <s v="PRD-006"/>
    <x v="0"/>
    <x v="0"/>
    <s v="David Kim"/>
    <x v="2"/>
    <n v="9"/>
    <n v="8.99"/>
    <n v="80.91"/>
    <n v="0"/>
    <n v="0"/>
    <n v="80.91"/>
    <n v="6.47"/>
    <n v="87.38"/>
    <x v="1"/>
  </r>
  <r>
    <s v="TXN-00010"/>
    <x v="49"/>
    <x v="0"/>
    <s v="C001"/>
    <s v="Apex Solutions"/>
    <x v="0"/>
    <s v="New York"/>
    <s v="PRD-002"/>
    <x v="9"/>
    <x v="1"/>
    <s v="Bob Chen"/>
    <x v="2"/>
    <n v="28"/>
    <n v="29.99"/>
    <n v="839.72"/>
    <n v="0.08"/>
    <n v="67.180000000000007"/>
    <n v="772.54"/>
    <n v="61.8"/>
    <n v="834.34"/>
    <x v="1"/>
  </r>
  <r>
    <s v="TXN-00090"/>
    <x v="50"/>
    <x v="0"/>
    <s v="C005"/>
    <s v="Eagle Tech"/>
    <x v="0"/>
    <s v="Chicago"/>
    <s v="PRD-002"/>
    <x v="9"/>
    <x v="1"/>
    <s v="Eva Patel"/>
    <x v="0"/>
    <n v="3"/>
    <n v="29.99"/>
    <n v="89.97"/>
    <n v="0"/>
    <n v="0"/>
    <n v="89.97"/>
    <n v="7.2"/>
    <n v="97.17"/>
    <x v="1"/>
  </r>
  <r>
    <s v="TXN-00100"/>
    <x v="51"/>
    <x v="0"/>
    <s v="C011"/>
    <s v="Keystone Ventures"/>
    <x v="3"/>
    <s v="Washington DC"/>
    <s v="PRD-014"/>
    <x v="10"/>
    <x v="1"/>
    <s v="Carol Davis"/>
    <x v="0"/>
    <n v="21"/>
    <n v="479.99"/>
    <n v="10079.790000000001"/>
    <n v="0.08"/>
    <n v="806.38"/>
    <n v="9273.41"/>
    <n v="741.87"/>
    <n v="10015.280000000001"/>
    <x v="1"/>
  </r>
  <r>
    <s v="TXN-00132"/>
    <x v="52"/>
    <x v="0"/>
    <s v="C004"/>
    <s v="Delta Enterprises"/>
    <x v="2"/>
    <s v="Los Angeles"/>
    <s v="PRD-002"/>
    <x v="9"/>
    <x v="1"/>
    <s v="David Kim"/>
    <x v="1"/>
    <n v="25"/>
    <n v="29.99"/>
    <n v="749.75"/>
    <n v="0.16"/>
    <n v="119.96"/>
    <n v="629.79"/>
    <n v="50.38"/>
    <n v="0"/>
    <x v="0"/>
  </r>
  <r>
    <s v="TXN-00018"/>
    <x v="53"/>
    <x v="0"/>
    <s v="C015"/>
    <s v="Orbit Industries"/>
    <x v="1"/>
    <s v="Houston"/>
    <s v="PRD-015"/>
    <x v="11"/>
    <x v="0"/>
    <s v="David Kim"/>
    <x v="4"/>
    <n v="5"/>
    <n v="79.989999999999995"/>
    <n v="399.95"/>
    <n v="0"/>
    <n v="0"/>
    <n v="399.95"/>
    <n v="32"/>
    <n v="431.95"/>
    <x v="1"/>
  </r>
  <r>
    <s v="TXN-00099"/>
    <x v="53"/>
    <x v="0"/>
    <s v="C014"/>
    <s v="Nexus Trading"/>
    <x v="2"/>
    <s v="Denver"/>
    <s v="PRD-012"/>
    <x v="6"/>
    <x v="0"/>
    <s v="David Kim"/>
    <x v="1"/>
    <n v="25"/>
    <n v="5.99"/>
    <n v="149.75"/>
    <n v="0.16"/>
    <n v="23.96"/>
    <n v="125.79"/>
    <n v="10.06"/>
    <n v="135.85"/>
    <x v="1"/>
  </r>
  <r>
    <s v="TXN-00044"/>
    <x v="54"/>
    <x v="0"/>
    <s v="C003"/>
    <s v="Crestview Ltd"/>
    <x v="3"/>
    <s v="Boston"/>
    <s v="PRD-008"/>
    <x v="12"/>
    <x v="1"/>
    <s v="David Kim"/>
    <x v="4"/>
    <n v="15"/>
    <n v="399.99"/>
    <n v="5999.85"/>
    <n v="0.05"/>
    <n v="299.99"/>
    <n v="5699.86"/>
    <n v="455.99"/>
    <n v="6155.85"/>
    <x v="1"/>
  </r>
  <r>
    <s v="TXN-00070"/>
    <x v="54"/>
    <x v="0"/>
    <s v="C015"/>
    <s v="Orbit Industries"/>
    <x v="1"/>
    <s v="Houston"/>
    <s v="PRD-006"/>
    <x v="0"/>
    <x v="0"/>
    <s v="Alice Morgan"/>
    <x v="2"/>
    <n v="22"/>
    <n v="8.99"/>
    <n v="197.78"/>
    <n v="0.08"/>
    <n v="15.82"/>
    <n v="181.96"/>
    <n v="14.56"/>
    <n v="196.52"/>
    <x v="1"/>
  </r>
  <r>
    <s v="TXN-00073"/>
    <x v="54"/>
    <x v="0"/>
    <s v="C003"/>
    <s v="Crestview Ltd"/>
    <x v="3"/>
    <s v="Boston"/>
    <s v="PRD-001"/>
    <x v="5"/>
    <x v="1"/>
    <s v="Carol Davis"/>
    <x v="1"/>
    <n v="28"/>
    <n v="1199.99"/>
    <n v="33599.72"/>
    <n v="0.16"/>
    <n v="5375.96"/>
    <n v="28223.759999999998"/>
    <n v="2257.9"/>
    <n v="30481.66"/>
    <x v="2"/>
  </r>
  <r>
    <s v="TXN-00095"/>
    <x v="54"/>
    <x v="0"/>
    <s v="C012"/>
    <s v="Luminary Co"/>
    <x v="1"/>
    <s v="Dallas"/>
    <s v="PRD-013"/>
    <x v="4"/>
    <x v="2"/>
    <s v="Eva Patel"/>
    <x v="1"/>
    <n v="18"/>
    <n v="229.99"/>
    <n v="4139.82"/>
    <n v="0.13"/>
    <n v="538.17999999999995"/>
    <n v="3601.64"/>
    <n v="288.13"/>
    <n v="3889.77"/>
    <x v="1"/>
  </r>
  <r>
    <s v="TXN-00064"/>
    <x v="55"/>
    <x v="0"/>
    <s v="C006"/>
    <s v="Foxfire Inc"/>
    <x v="1"/>
    <s v="Miami"/>
    <s v="PRD-012"/>
    <x v="6"/>
    <x v="0"/>
    <s v="Bob Chen"/>
    <x v="2"/>
    <n v="16"/>
    <n v="5.99"/>
    <n v="95.84"/>
    <n v="0.05"/>
    <n v="4.79"/>
    <n v="91.05"/>
    <n v="7.28"/>
    <n v="0"/>
    <x v="0"/>
  </r>
  <r>
    <s v="TXN-00055"/>
    <x v="56"/>
    <x v="0"/>
    <s v="C010"/>
    <s v="Jade Innovations"/>
    <x v="2"/>
    <s v="San Francisco"/>
    <s v="PRD-011"/>
    <x v="7"/>
    <x v="1"/>
    <s v="Eva Patel"/>
    <x v="0"/>
    <n v="30"/>
    <n v="249.99"/>
    <n v="7499.7"/>
    <n v="0.08"/>
    <n v="599.98"/>
    <n v="6899.72"/>
    <n v="551.98"/>
    <n v="7451.7"/>
    <x v="1"/>
  </r>
  <r>
    <s v="TXN-00111"/>
    <x v="56"/>
    <x v="0"/>
    <s v="C007"/>
    <s v="Global Dynamics"/>
    <x v="3"/>
    <s v="Philadelphia"/>
    <s v="PRD-011"/>
    <x v="7"/>
    <x v="1"/>
    <s v="Bob Chen"/>
    <x v="1"/>
    <n v="2"/>
    <n v="249.99"/>
    <n v="499.98"/>
    <n v="0.08"/>
    <n v="40"/>
    <n v="459.98"/>
    <n v="36.799999999999997"/>
    <n v="496.78"/>
    <x v="1"/>
  </r>
  <r>
    <s v="TXN-00078"/>
    <x v="57"/>
    <x v="0"/>
    <s v="C001"/>
    <s v="Apex Solutions"/>
    <x v="0"/>
    <s v="New York"/>
    <s v="PRD-006"/>
    <x v="0"/>
    <x v="0"/>
    <s v="Alice Morgan"/>
    <x v="2"/>
    <n v="19"/>
    <n v="8.99"/>
    <n v="170.81"/>
    <n v="0.05"/>
    <n v="8.5399999999999991"/>
    <n v="162.27000000000001"/>
    <n v="12.98"/>
    <n v="175.25"/>
    <x v="1"/>
  </r>
  <r>
    <s v="TXN-00153"/>
    <x v="57"/>
    <x v="0"/>
    <s v="C014"/>
    <s v="Nexus Trading"/>
    <x v="2"/>
    <s v="Denver"/>
    <s v="PRD-012"/>
    <x v="6"/>
    <x v="0"/>
    <s v="David Kim"/>
    <x v="3"/>
    <n v="8"/>
    <n v="5.99"/>
    <n v="47.92"/>
    <n v="0"/>
    <n v="0"/>
    <n v="47.92"/>
    <n v="3.83"/>
    <n v="51.75"/>
    <x v="2"/>
  </r>
  <r>
    <s v="TXN-00126"/>
    <x v="58"/>
    <x v="0"/>
    <s v="C008"/>
    <s v="Horizon Group"/>
    <x v="2"/>
    <s v="Seattle"/>
    <s v="PRD-013"/>
    <x v="4"/>
    <x v="2"/>
    <s v="David Kim"/>
    <x v="1"/>
    <n v="19"/>
    <n v="229.99"/>
    <n v="4369.8100000000004"/>
    <n v="0.13"/>
    <n v="568.08000000000004"/>
    <n v="3801.73"/>
    <n v="304.14"/>
    <n v="4105.87"/>
    <x v="2"/>
  </r>
  <r>
    <s v="TXN-00065"/>
    <x v="59"/>
    <x v="0"/>
    <s v="C015"/>
    <s v="Orbit Industries"/>
    <x v="1"/>
    <s v="Houston"/>
    <s v="PRD-015"/>
    <x v="11"/>
    <x v="0"/>
    <s v="Alice Morgan"/>
    <x v="3"/>
    <n v="14"/>
    <n v="79.989999999999995"/>
    <n v="1119.8599999999999"/>
    <n v="0.05"/>
    <n v="55.99"/>
    <n v="1063.8699999999999"/>
    <n v="85.11"/>
    <n v="1148.98"/>
    <x v="2"/>
  </r>
  <r>
    <s v="TXN-00152"/>
    <x v="60"/>
    <x v="0"/>
    <s v="C005"/>
    <s v="Eagle Tech"/>
    <x v="0"/>
    <s v="Chicago"/>
    <s v="PRD-008"/>
    <x v="12"/>
    <x v="1"/>
    <s v="Alice Morgan"/>
    <x v="4"/>
    <n v="23"/>
    <n v="399.99"/>
    <n v="9199.77"/>
    <n v="0.08"/>
    <n v="735.98"/>
    <n v="8463.7900000000009"/>
    <n v="677.1"/>
    <n v="9140.89"/>
    <x v="1"/>
  </r>
  <r>
    <s v="TXN-00200"/>
    <x v="61"/>
    <x v="0"/>
    <s v="C011"/>
    <s v="Keystone Ventures"/>
    <x v="3"/>
    <s v="Washington DC"/>
    <s v="PRD-014"/>
    <x v="10"/>
    <x v="1"/>
    <s v="Alice Morgan"/>
    <x v="0"/>
    <n v="16"/>
    <n v="479.99"/>
    <n v="7679.84"/>
    <n v="0.05"/>
    <n v="383.99"/>
    <n v="7295.85"/>
    <n v="583.66999999999996"/>
    <n v="7879.52"/>
    <x v="2"/>
  </r>
  <r>
    <s v="TXN-00133"/>
    <x v="62"/>
    <x v="0"/>
    <s v="C008"/>
    <s v="Horizon Group"/>
    <x v="2"/>
    <s v="Seattle"/>
    <s v="PRD-012"/>
    <x v="6"/>
    <x v="0"/>
    <s v="David Kim"/>
    <x v="1"/>
    <n v="3"/>
    <n v="5.99"/>
    <n v="17.97"/>
    <n v="0.08"/>
    <n v="1.44"/>
    <n v="16.53"/>
    <n v="1.32"/>
    <n v="17.850000000000001"/>
    <x v="1"/>
  </r>
  <r>
    <s v="TXN-00049"/>
    <x v="63"/>
    <x v="0"/>
    <s v="C013"/>
    <s v="Maverick Systems"/>
    <x v="0"/>
    <s v="Minneapolis"/>
    <s v="PRD-012"/>
    <x v="6"/>
    <x v="0"/>
    <s v="Eva Patel"/>
    <x v="1"/>
    <n v="7"/>
    <n v="5.99"/>
    <n v="41.93"/>
    <n v="0.08"/>
    <n v="3.35"/>
    <n v="38.58"/>
    <n v="3.09"/>
    <n v="41.67"/>
    <x v="1"/>
  </r>
  <r>
    <s v="TXN-00198"/>
    <x v="63"/>
    <x v="0"/>
    <s v="C004"/>
    <s v="Delta Enterprises"/>
    <x v="2"/>
    <s v="Los Angeles"/>
    <s v="PRD-002"/>
    <x v="9"/>
    <x v="1"/>
    <s v="David Kim"/>
    <x v="0"/>
    <n v="19"/>
    <n v="29.99"/>
    <n v="569.80999999999995"/>
    <n v="0.05"/>
    <n v="28.49"/>
    <n v="541.32000000000005"/>
    <n v="43.31"/>
    <n v="584.63"/>
    <x v="1"/>
  </r>
  <r>
    <s v="TXN-00206"/>
    <x v="63"/>
    <x v="0"/>
    <s v="C005"/>
    <s v="Eagle Tech"/>
    <x v="0"/>
    <s v="Chicago"/>
    <s v="PRD-015"/>
    <x v="11"/>
    <x v="0"/>
    <s v="Bob Chen"/>
    <x v="2"/>
    <n v="26"/>
    <n v="79.989999999999995"/>
    <n v="2079.7399999999998"/>
    <n v="0.08"/>
    <n v="166.38"/>
    <n v="1913.36"/>
    <n v="153.07"/>
    <n v="2066.4299999999998"/>
    <x v="1"/>
  </r>
  <r>
    <s v="TXN-00189"/>
    <x v="64"/>
    <x v="0"/>
    <s v="C013"/>
    <s v="Maverick Systems"/>
    <x v="0"/>
    <s v="Minneapolis"/>
    <s v="PRD-002"/>
    <x v="9"/>
    <x v="1"/>
    <s v="Alice Morgan"/>
    <x v="1"/>
    <n v="23"/>
    <n v="29.99"/>
    <n v="689.77"/>
    <n v="0.16"/>
    <n v="110.36"/>
    <n v="579.41"/>
    <n v="46.35"/>
    <n v="625.76"/>
    <x v="1"/>
  </r>
  <r>
    <s v="TXN-00140"/>
    <x v="65"/>
    <x v="0"/>
    <s v="C004"/>
    <s v="Delta Enterprises"/>
    <x v="2"/>
    <s v="Los Angeles"/>
    <s v="PRD-014"/>
    <x v="10"/>
    <x v="1"/>
    <s v="Carol Davis"/>
    <x v="4"/>
    <n v="6"/>
    <n v="479.99"/>
    <n v="2879.94"/>
    <n v="0"/>
    <n v="0"/>
    <n v="2879.94"/>
    <n v="230.4"/>
    <n v="3110.34"/>
    <x v="1"/>
  </r>
  <r>
    <s v="TXN-00157"/>
    <x v="66"/>
    <x v="0"/>
    <s v="C005"/>
    <s v="Eagle Tech"/>
    <x v="0"/>
    <s v="Chicago"/>
    <s v="PRD-015"/>
    <x v="11"/>
    <x v="0"/>
    <s v="David Kim"/>
    <x v="3"/>
    <n v="23"/>
    <n v="79.989999999999995"/>
    <n v="1839.77"/>
    <n v="0.08"/>
    <n v="147.18"/>
    <n v="1692.59"/>
    <n v="135.41"/>
    <n v="1828"/>
    <x v="1"/>
  </r>
  <r>
    <s v="TXN-00069"/>
    <x v="67"/>
    <x v="0"/>
    <s v="C009"/>
    <s v="Ironclad Partners"/>
    <x v="0"/>
    <s v="Detroit"/>
    <s v="PRD-010"/>
    <x v="1"/>
    <x v="1"/>
    <s v="Bob Chen"/>
    <x v="1"/>
    <n v="2"/>
    <n v="89.99"/>
    <n v="179.98"/>
    <n v="0.08"/>
    <n v="14.4"/>
    <n v="165.58"/>
    <n v="13.25"/>
    <n v="178.83"/>
    <x v="1"/>
  </r>
  <r>
    <s v="TXN-00050"/>
    <x v="68"/>
    <x v="0"/>
    <s v="C001"/>
    <s v="Apex Solutions"/>
    <x v="0"/>
    <s v="New York"/>
    <s v="PRD-004"/>
    <x v="8"/>
    <x v="2"/>
    <s v="Eva Patel"/>
    <x v="0"/>
    <n v="24"/>
    <n v="349.99"/>
    <n v="8399.76"/>
    <n v="0.08"/>
    <n v="671.98"/>
    <n v="7727.78"/>
    <n v="618.22"/>
    <n v="8346"/>
    <x v="1"/>
  </r>
  <r>
    <s v="TXN-00079"/>
    <x v="68"/>
    <x v="0"/>
    <s v="C002"/>
    <s v="Blue Ridge Corp"/>
    <x v="1"/>
    <s v="Atlanta"/>
    <s v="PRD-001"/>
    <x v="5"/>
    <x v="1"/>
    <s v="Eva Patel"/>
    <x v="1"/>
    <n v="24"/>
    <n v="1199.99"/>
    <n v="28799.759999999998"/>
    <n v="0.16"/>
    <n v="4607.96"/>
    <n v="24191.8"/>
    <n v="1935.34"/>
    <n v="26127.14"/>
    <x v="1"/>
  </r>
  <r>
    <s v="TXN-00179"/>
    <x v="69"/>
    <x v="0"/>
    <s v="C006"/>
    <s v="Foxfire Inc"/>
    <x v="1"/>
    <s v="Miami"/>
    <s v="PRD-006"/>
    <x v="0"/>
    <x v="0"/>
    <s v="Eva Patel"/>
    <x v="0"/>
    <n v="15"/>
    <n v="8.99"/>
    <n v="134.85"/>
    <n v="0.05"/>
    <n v="6.74"/>
    <n v="128.11000000000001"/>
    <n v="10.25"/>
    <n v="138.36000000000001"/>
    <x v="1"/>
  </r>
  <r>
    <s v="TXN-00182"/>
    <x v="70"/>
    <x v="0"/>
    <s v="C008"/>
    <s v="Horizon Group"/>
    <x v="2"/>
    <s v="Seattle"/>
    <s v="PRD-003"/>
    <x v="14"/>
    <x v="1"/>
    <s v="Alice Morgan"/>
    <x v="4"/>
    <n v="19"/>
    <n v="49.99"/>
    <n v="949.81"/>
    <n v="0.05"/>
    <n v="47.49"/>
    <n v="902.32"/>
    <n v="72.19"/>
    <n v="0"/>
    <x v="0"/>
  </r>
  <r>
    <s v="TXN-00101"/>
    <x v="71"/>
    <x v="0"/>
    <s v="C008"/>
    <s v="Horizon Group"/>
    <x v="2"/>
    <s v="Seattle"/>
    <s v="PRD-005"/>
    <x v="3"/>
    <x v="2"/>
    <s v="Alice Morgan"/>
    <x v="2"/>
    <n v="9"/>
    <n v="599.99"/>
    <n v="5399.91"/>
    <n v="0"/>
    <n v="0"/>
    <n v="5399.91"/>
    <n v="431.99"/>
    <n v="5831.9"/>
    <x v="1"/>
  </r>
  <r>
    <s v="TXN-00042"/>
    <x v="72"/>
    <x v="0"/>
    <s v="C012"/>
    <s v="Luminary Co"/>
    <x v="1"/>
    <s v="Dallas"/>
    <s v="PRD-014"/>
    <x v="10"/>
    <x v="1"/>
    <s v="Alice Morgan"/>
    <x v="3"/>
    <n v="13"/>
    <n v="479.99"/>
    <n v="6239.87"/>
    <n v="0.05"/>
    <n v="311.99"/>
    <n v="5927.88"/>
    <n v="474.23"/>
    <n v="6402.11"/>
    <x v="1"/>
  </r>
  <r>
    <s v="TXN-00005"/>
    <x v="73"/>
    <x v="0"/>
    <s v="C013"/>
    <s v="Maverick Systems"/>
    <x v="0"/>
    <s v="Minneapolis"/>
    <s v="PRD-005"/>
    <x v="3"/>
    <x v="2"/>
    <s v="Alice Morgan"/>
    <x v="4"/>
    <n v="14"/>
    <n v="599.99"/>
    <n v="8399.86"/>
    <n v="0.05"/>
    <n v="419.99"/>
    <n v="7979.87"/>
    <n v="638.39"/>
    <n v="8618.26"/>
    <x v="2"/>
  </r>
  <r>
    <s v="TXN-00190"/>
    <x v="74"/>
    <x v="0"/>
    <s v="C001"/>
    <s v="Apex Solutions"/>
    <x v="0"/>
    <s v="New York"/>
    <s v="PRD-015"/>
    <x v="11"/>
    <x v="0"/>
    <s v="Alice Morgan"/>
    <x v="2"/>
    <n v="10"/>
    <n v="79.989999999999995"/>
    <n v="799.9"/>
    <n v="0.05"/>
    <n v="40"/>
    <n v="759.9"/>
    <n v="60.79"/>
    <n v="820.69"/>
    <x v="1"/>
  </r>
  <r>
    <s v="TXN-00029"/>
    <x v="75"/>
    <x v="0"/>
    <s v="C006"/>
    <s v="Foxfire Inc"/>
    <x v="1"/>
    <s v="Miami"/>
    <s v="PRD-010"/>
    <x v="1"/>
    <x v="1"/>
    <s v="David Kim"/>
    <x v="3"/>
    <n v="30"/>
    <n v="89.99"/>
    <n v="2699.7"/>
    <n v="0.08"/>
    <n v="215.98"/>
    <n v="2483.7199999999998"/>
    <n v="198.7"/>
    <n v="2682.42"/>
    <x v="1"/>
  </r>
  <r>
    <s v="TXN-00218"/>
    <x v="75"/>
    <x v="0"/>
    <s v="C004"/>
    <s v="Delta Enterprises"/>
    <x v="2"/>
    <s v="Los Angeles"/>
    <s v="PRD-006"/>
    <x v="0"/>
    <x v="0"/>
    <s v="David Kim"/>
    <x v="1"/>
    <n v="28"/>
    <n v="8.99"/>
    <n v="251.72"/>
    <n v="0.16"/>
    <n v="40.28"/>
    <n v="211.44"/>
    <n v="16.920000000000002"/>
    <n v="228.36"/>
    <x v="1"/>
  </r>
  <r>
    <s v="TXN-00011"/>
    <x v="76"/>
    <x v="0"/>
    <s v="C002"/>
    <s v="Blue Ridge Corp"/>
    <x v="1"/>
    <s v="Atlanta"/>
    <s v="PRD-014"/>
    <x v="10"/>
    <x v="1"/>
    <s v="David Kim"/>
    <x v="2"/>
    <n v="21"/>
    <n v="479.99"/>
    <n v="10079.790000000001"/>
    <n v="0.08"/>
    <n v="806.38"/>
    <n v="9273.41"/>
    <n v="741.87"/>
    <n v="10015.280000000001"/>
    <x v="1"/>
  </r>
  <r>
    <s v="TXN-00203"/>
    <x v="76"/>
    <x v="0"/>
    <s v="C001"/>
    <s v="Apex Solutions"/>
    <x v="0"/>
    <s v="New York"/>
    <s v="PRD-011"/>
    <x v="7"/>
    <x v="1"/>
    <s v="Carol Davis"/>
    <x v="1"/>
    <n v="19"/>
    <n v="249.99"/>
    <n v="4749.8100000000004"/>
    <n v="0.13"/>
    <n v="617.48"/>
    <n v="4132.33"/>
    <n v="330.59"/>
    <n v="4462.92"/>
    <x v="1"/>
  </r>
  <r>
    <s v="TXN-00134"/>
    <x v="77"/>
    <x v="0"/>
    <s v="C007"/>
    <s v="Global Dynamics"/>
    <x v="3"/>
    <s v="Philadelphia"/>
    <s v="PRD-004"/>
    <x v="8"/>
    <x v="2"/>
    <s v="Bob Chen"/>
    <x v="2"/>
    <n v="19"/>
    <n v="349.99"/>
    <n v="6649.81"/>
    <n v="0.05"/>
    <n v="332.49"/>
    <n v="6317.32"/>
    <n v="505.39"/>
    <n v="6822.71"/>
    <x v="2"/>
  </r>
  <r>
    <s v="TXN-00068"/>
    <x v="78"/>
    <x v="0"/>
    <s v="C015"/>
    <s v="Orbit Industries"/>
    <x v="1"/>
    <s v="Houston"/>
    <s v="PRD-002"/>
    <x v="9"/>
    <x v="1"/>
    <s v="Bob Chen"/>
    <x v="0"/>
    <n v="27"/>
    <n v="29.99"/>
    <n v="809.73"/>
    <n v="0.08"/>
    <n v="64.78"/>
    <n v="744.95"/>
    <n v="59.6"/>
    <n v="804.55"/>
    <x v="1"/>
  </r>
  <r>
    <s v="TXN-00122"/>
    <x v="78"/>
    <x v="0"/>
    <s v="C001"/>
    <s v="Apex Solutions"/>
    <x v="0"/>
    <s v="New York"/>
    <s v="PRD-013"/>
    <x v="4"/>
    <x v="2"/>
    <s v="Carol Davis"/>
    <x v="0"/>
    <n v="22"/>
    <n v="229.99"/>
    <n v="5059.78"/>
    <n v="0.08"/>
    <n v="404.78"/>
    <n v="4655"/>
    <n v="372.4"/>
    <n v="5027.3999999999996"/>
    <x v="1"/>
  </r>
  <r>
    <s v="TXN-00034"/>
    <x v="79"/>
    <x v="0"/>
    <s v="C012"/>
    <s v="Luminary Co"/>
    <x v="1"/>
    <s v="Dallas"/>
    <s v="PRD-004"/>
    <x v="8"/>
    <x v="2"/>
    <s v="Carol Davis"/>
    <x v="1"/>
    <n v="21"/>
    <n v="349.99"/>
    <n v="7349.79"/>
    <n v="0.16"/>
    <n v="1175.97"/>
    <n v="6173.82"/>
    <n v="493.91"/>
    <n v="6667.73"/>
    <x v="2"/>
  </r>
  <r>
    <s v="TXN-00119"/>
    <x v="80"/>
    <x v="0"/>
    <s v="C015"/>
    <s v="Orbit Industries"/>
    <x v="1"/>
    <s v="Houston"/>
    <s v="PRD-001"/>
    <x v="5"/>
    <x v="1"/>
    <s v="Carol Davis"/>
    <x v="0"/>
    <n v="30"/>
    <n v="1199.99"/>
    <n v="35999.699999999997"/>
    <n v="0.08"/>
    <n v="2879.98"/>
    <n v="33119.72"/>
    <n v="2649.58"/>
    <n v="35769.300000000003"/>
    <x v="2"/>
  </r>
  <r>
    <s v="TXN-00006"/>
    <x v="81"/>
    <x v="0"/>
    <s v="C003"/>
    <s v="Crestview Ltd"/>
    <x v="3"/>
    <s v="Boston"/>
    <s v="PRD-005"/>
    <x v="3"/>
    <x v="2"/>
    <s v="Bob Chen"/>
    <x v="2"/>
    <n v="3"/>
    <n v="599.99"/>
    <n v="1799.97"/>
    <n v="0"/>
    <n v="0"/>
    <n v="1799.97"/>
    <n v="144"/>
    <n v="1943.97"/>
    <x v="1"/>
  </r>
  <r>
    <s v="TXN-00047"/>
    <x v="81"/>
    <x v="0"/>
    <s v="C008"/>
    <s v="Horizon Group"/>
    <x v="2"/>
    <s v="Seattle"/>
    <s v="PRD-008"/>
    <x v="12"/>
    <x v="1"/>
    <s v="Bob Chen"/>
    <x v="1"/>
    <n v="6"/>
    <n v="399.99"/>
    <n v="2399.94"/>
    <n v="0.08"/>
    <n v="192"/>
    <n v="2207.94"/>
    <n v="176.64"/>
    <n v="2384.58"/>
    <x v="1"/>
  </r>
  <r>
    <s v="TXN-00112"/>
    <x v="81"/>
    <x v="0"/>
    <s v="C006"/>
    <s v="Foxfire Inc"/>
    <x v="1"/>
    <s v="Miami"/>
    <s v="PRD-007"/>
    <x v="13"/>
    <x v="1"/>
    <s v="Bob Chen"/>
    <x v="1"/>
    <n v="11"/>
    <n v="129.99"/>
    <n v="1429.89"/>
    <n v="0.13"/>
    <n v="185.89"/>
    <n v="1244"/>
    <n v="99.52"/>
    <n v="1343.52"/>
    <x v="1"/>
  </r>
  <r>
    <s v="TXN-00128"/>
    <x v="81"/>
    <x v="0"/>
    <s v="C013"/>
    <s v="Maverick Systems"/>
    <x v="0"/>
    <s v="Minneapolis"/>
    <s v="PRD-004"/>
    <x v="8"/>
    <x v="2"/>
    <s v="David Kim"/>
    <x v="0"/>
    <n v="22"/>
    <n v="349.99"/>
    <n v="7699.78"/>
    <n v="0.08"/>
    <n v="615.98"/>
    <n v="7083.8"/>
    <n v="566.70000000000005"/>
    <n v="0"/>
    <x v="0"/>
  </r>
  <r>
    <s v="TXN-00022"/>
    <x v="82"/>
    <x v="0"/>
    <s v="C011"/>
    <s v="Keystone Ventures"/>
    <x v="3"/>
    <s v="Washington DC"/>
    <s v="PRD-013"/>
    <x v="4"/>
    <x v="2"/>
    <s v="David Kim"/>
    <x v="0"/>
    <n v="13"/>
    <n v="229.99"/>
    <n v="2989.87"/>
    <n v="0.05"/>
    <n v="149.49"/>
    <n v="2840.38"/>
    <n v="227.23"/>
    <n v="3067.61"/>
    <x v="1"/>
  </r>
  <r>
    <s v="TXN-00017"/>
    <x v="83"/>
    <x v="0"/>
    <s v="C012"/>
    <s v="Luminary Co"/>
    <x v="1"/>
    <s v="Dallas"/>
    <s v="PRD-015"/>
    <x v="11"/>
    <x v="0"/>
    <s v="Carol Davis"/>
    <x v="4"/>
    <n v="16"/>
    <n v="79.989999999999995"/>
    <n v="1279.8399999999999"/>
    <n v="0.05"/>
    <n v="63.99"/>
    <n v="1215.8499999999999"/>
    <n v="97.27"/>
    <n v="1313.12"/>
    <x v="2"/>
  </r>
  <r>
    <s v="TXN-00208"/>
    <x v="83"/>
    <x v="0"/>
    <s v="C004"/>
    <s v="Delta Enterprises"/>
    <x v="2"/>
    <s v="Los Angeles"/>
    <s v="PRD-013"/>
    <x v="4"/>
    <x v="2"/>
    <s v="David Kim"/>
    <x v="0"/>
    <n v="3"/>
    <n v="229.99"/>
    <n v="689.97"/>
    <n v="0"/>
    <n v="0"/>
    <n v="689.97"/>
    <n v="55.2"/>
    <n v="745.17"/>
    <x v="1"/>
  </r>
  <r>
    <s v="TXN-00185"/>
    <x v="84"/>
    <x v="0"/>
    <s v="C013"/>
    <s v="Maverick Systems"/>
    <x v="0"/>
    <s v="Minneapolis"/>
    <s v="PRD-008"/>
    <x v="12"/>
    <x v="1"/>
    <s v="Carol Davis"/>
    <x v="2"/>
    <n v="23"/>
    <n v="399.99"/>
    <n v="9199.77"/>
    <n v="0.08"/>
    <n v="735.98"/>
    <n v="8463.7900000000009"/>
    <n v="677.1"/>
    <n v="0"/>
    <x v="0"/>
  </r>
  <r>
    <s v="TXN-00086"/>
    <x v="85"/>
    <x v="0"/>
    <s v="C007"/>
    <s v="Global Dynamics"/>
    <x v="3"/>
    <s v="Philadelphia"/>
    <s v="PRD-011"/>
    <x v="7"/>
    <x v="1"/>
    <s v="Bob Chen"/>
    <x v="0"/>
    <n v="10"/>
    <n v="249.99"/>
    <n v="2499.9"/>
    <n v="0.05"/>
    <n v="125"/>
    <n v="2374.9"/>
    <n v="189.99"/>
    <n v="0"/>
    <x v="0"/>
  </r>
  <r>
    <s v="TXN-00108"/>
    <x v="85"/>
    <x v="0"/>
    <s v="C001"/>
    <s v="Apex Solutions"/>
    <x v="0"/>
    <s v="New York"/>
    <s v="PRD-008"/>
    <x v="12"/>
    <x v="1"/>
    <s v="David Kim"/>
    <x v="2"/>
    <n v="22"/>
    <n v="399.99"/>
    <n v="8799.7800000000007"/>
    <n v="0.08"/>
    <n v="703.98"/>
    <n v="8095.8"/>
    <n v="647.66"/>
    <n v="8743.4599999999991"/>
    <x v="2"/>
  </r>
  <r>
    <s v="TXN-00046"/>
    <x v="86"/>
    <x v="0"/>
    <s v="C009"/>
    <s v="Ironclad Partners"/>
    <x v="0"/>
    <s v="Detroit"/>
    <s v="PRD-011"/>
    <x v="7"/>
    <x v="1"/>
    <s v="Alice Morgan"/>
    <x v="3"/>
    <n v="6"/>
    <n v="249.99"/>
    <n v="1499.94"/>
    <n v="0"/>
    <n v="0"/>
    <n v="1499.94"/>
    <n v="120"/>
    <n v="1619.94"/>
    <x v="1"/>
  </r>
  <r>
    <s v="TXN-00103"/>
    <x v="86"/>
    <x v="0"/>
    <s v="C012"/>
    <s v="Luminary Co"/>
    <x v="1"/>
    <s v="Dallas"/>
    <s v="PRD-007"/>
    <x v="13"/>
    <x v="1"/>
    <s v="Bob Chen"/>
    <x v="4"/>
    <n v="14"/>
    <n v="129.99"/>
    <n v="1819.86"/>
    <n v="0.05"/>
    <n v="90.99"/>
    <n v="1728.87"/>
    <n v="138.31"/>
    <n v="1867.18"/>
    <x v="1"/>
  </r>
  <r>
    <s v="TXN-00084"/>
    <x v="87"/>
    <x v="0"/>
    <s v="C015"/>
    <s v="Orbit Industries"/>
    <x v="1"/>
    <s v="Houston"/>
    <s v="PRD-012"/>
    <x v="6"/>
    <x v="0"/>
    <s v="Carol Davis"/>
    <x v="0"/>
    <n v="22"/>
    <n v="5.99"/>
    <n v="131.78"/>
    <n v="0.08"/>
    <n v="10.54"/>
    <n v="121.24"/>
    <n v="9.6999999999999993"/>
    <n v="130.94"/>
    <x v="1"/>
  </r>
  <r>
    <s v="TXN-00163"/>
    <x v="87"/>
    <x v="0"/>
    <s v="C014"/>
    <s v="Nexus Trading"/>
    <x v="2"/>
    <s v="Denver"/>
    <s v="PRD-011"/>
    <x v="7"/>
    <x v="1"/>
    <s v="David Kim"/>
    <x v="3"/>
    <n v="12"/>
    <n v="249.99"/>
    <n v="2999.88"/>
    <n v="0.05"/>
    <n v="149.99"/>
    <n v="2849.89"/>
    <n v="227.99"/>
    <n v="3077.88"/>
    <x v="1"/>
  </r>
  <r>
    <s v="TXN-00180"/>
    <x v="88"/>
    <x v="0"/>
    <s v="C004"/>
    <s v="Delta Enterprises"/>
    <x v="2"/>
    <s v="Los Angeles"/>
    <s v="PRD-014"/>
    <x v="10"/>
    <x v="1"/>
    <s v="Bob Chen"/>
    <x v="0"/>
    <n v="8"/>
    <n v="479.99"/>
    <n v="3839.92"/>
    <n v="0"/>
    <n v="0"/>
    <n v="3839.92"/>
    <n v="307.19"/>
    <n v="4147.1099999999997"/>
    <x v="1"/>
  </r>
  <r>
    <s v="TXN-00072"/>
    <x v="89"/>
    <x v="0"/>
    <s v="C015"/>
    <s v="Orbit Industries"/>
    <x v="1"/>
    <s v="Houston"/>
    <s v="PRD-015"/>
    <x v="11"/>
    <x v="0"/>
    <s v="Bob Chen"/>
    <x v="4"/>
    <n v="29"/>
    <n v="79.989999999999995"/>
    <n v="2319.71"/>
    <n v="0.08"/>
    <n v="185.58"/>
    <n v="2134.13"/>
    <n v="170.73"/>
    <n v="2304.86"/>
    <x v="1"/>
  </r>
  <r>
    <s v="TXN-00173"/>
    <x v="90"/>
    <x v="0"/>
    <s v="C015"/>
    <s v="Orbit Industries"/>
    <x v="1"/>
    <s v="Houston"/>
    <s v="PRD-008"/>
    <x v="12"/>
    <x v="1"/>
    <s v="Carol Davis"/>
    <x v="0"/>
    <n v="9"/>
    <n v="399.99"/>
    <n v="3599.91"/>
    <n v="0"/>
    <n v="0"/>
    <n v="3599.91"/>
    <n v="287.99"/>
    <n v="3887.9"/>
    <x v="2"/>
  </r>
  <r>
    <s v="TXN-00204"/>
    <x v="90"/>
    <x v="0"/>
    <s v="C003"/>
    <s v="Crestview Ltd"/>
    <x v="3"/>
    <s v="Boston"/>
    <s v="PRD-012"/>
    <x v="6"/>
    <x v="0"/>
    <s v="Alice Morgan"/>
    <x v="2"/>
    <n v="24"/>
    <n v="5.99"/>
    <n v="143.76"/>
    <n v="0.08"/>
    <n v="11.5"/>
    <n v="132.26"/>
    <n v="10.58"/>
    <n v="142.84"/>
    <x v="1"/>
  </r>
  <r>
    <s v="TXN-00146"/>
    <x v="91"/>
    <x v="0"/>
    <s v="C002"/>
    <s v="Blue Ridge Corp"/>
    <x v="1"/>
    <s v="Atlanta"/>
    <s v="PRD-005"/>
    <x v="3"/>
    <x v="2"/>
    <s v="Bob Chen"/>
    <x v="3"/>
    <n v="25"/>
    <n v="599.99"/>
    <n v="14999.75"/>
    <n v="0.08"/>
    <n v="1199.98"/>
    <n v="13799.77"/>
    <n v="1103.98"/>
    <n v="0"/>
    <x v="0"/>
  </r>
  <r>
    <s v="TXN-00054"/>
    <x v="92"/>
    <x v="0"/>
    <s v="C010"/>
    <s v="Jade Innovations"/>
    <x v="2"/>
    <s v="San Francisco"/>
    <s v="PRD-004"/>
    <x v="8"/>
    <x v="2"/>
    <s v="Eva Patel"/>
    <x v="3"/>
    <n v="3"/>
    <n v="349.99"/>
    <n v="1049.97"/>
    <n v="0"/>
    <n v="0"/>
    <n v="1049.97"/>
    <n v="84"/>
    <n v="0"/>
    <x v="0"/>
  </r>
  <r>
    <s v="TXN-00085"/>
    <x v="93"/>
    <x v="0"/>
    <s v="C007"/>
    <s v="Global Dynamics"/>
    <x v="3"/>
    <s v="Philadelphia"/>
    <s v="PRD-006"/>
    <x v="0"/>
    <x v="0"/>
    <s v="Carol Davis"/>
    <x v="0"/>
    <n v="7"/>
    <n v="8.99"/>
    <n v="62.93"/>
    <n v="0"/>
    <n v="0"/>
    <n v="62.93"/>
    <n v="5.03"/>
    <n v="67.959999999999994"/>
    <x v="1"/>
  </r>
  <r>
    <s v="TXN-00104"/>
    <x v="93"/>
    <x v="0"/>
    <s v="C009"/>
    <s v="Ironclad Partners"/>
    <x v="0"/>
    <s v="Detroit"/>
    <s v="PRD-006"/>
    <x v="0"/>
    <x v="0"/>
    <s v="David Kim"/>
    <x v="1"/>
    <n v="7"/>
    <n v="8.99"/>
    <n v="62.93"/>
    <n v="0.08"/>
    <n v="5.03"/>
    <n v="57.9"/>
    <n v="4.63"/>
    <n v="62.53"/>
    <x v="1"/>
  </r>
  <r>
    <s v="TXN-00196"/>
    <x v="94"/>
    <x v="0"/>
    <s v="C008"/>
    <s v="Horizon Group"/>
    <x v="2"/>
    <s v="Seattle"/>
    <s v="PRD-002"/>
    <x v="9"/>
    <x v="1"/>
    <s v="Carol Davis"/>
    <x v="0"/>
    <n v="21"/>
    <n v="29.99"/>
    <n v="629.79"/>
    <n v="0.08"/>
    <n v="50.38"/>
    <n v="579.41"/>
    <n v="46.35"/>
    <n v="625.76"/>
    <x v="1"/>
  </r>
  <r>
    <s v="TXN-00019"/>
    <x v="95"/>
    <x v="0"/>
    <s v="C009"/>
    <s v="Ironclad Partners"/>
    <x v="0"/>
    <s v="Detroit"/>
    <s v="PRD-012"/>
    <x v="6"/>
    <x v="0"/>
    <s v="Eva Patel"/>
    <x v="2"/>
    <n v="19"/>
    <n v="5.99"/>
    <n v="113.81"/>
    <n v="0.05"/>
    <n v="5.69"/>
    <n v="108.12"/>
    <n v="8.65"/>
    <n v="116.77"/>
    <x v="2"/>
  </r>
  <r>
    <s v="TXN-00087"/>
    <x v="96"/>
    <x v="0"/>
    <s v="C014"/>
    <s v="Nexus Trading"/>
    <x v="2"/>
    <s v="Denver"/>
    <s v="PRD-009"/>
    <x v="2"/>
    <x v="2"/>
    <s v="Alice Morgan"/>
    <x v="2"/>
    <n v="7"/>
    <n v="39.99"/>
    <n v="279.93"/>
    <n v="0"/>
    <n v="0"/>
    <n v="279.93"/>
    <n v="22.39"/>
    <n v="302.32"/>
    <x v="1"/>
  </r>
  <r>
    <s v="TXN-00124"/>
    <x v="97"/>
    <x v="0"/>
    <s v="C007"/>
    <s v="Global Dynamics"/>
    <x v="3"/>
    <s v="Philadelphia"/>
    <s v="PRD-002"/>
    <x v="9"/>
    <x v="1"/>
    <s v="Carol Davis"/>
    <x v="1"/>
    <n v="5"/>
    <n v="29.99"/>
    <n v="149.94999999999999"/>
    <n v="0.08"/>
    <n v="12"/>
    <n v="137.94999999999999"/>
    <n v="11.04"/>
    <n v="148.99"/>
    <x v="2"/>
  </r>
  <r>
    <s v="TXN-00188"/>
    <x v="97"/>
    <x v="0"/>
    <s v="C011"/>
    <s v="Keystone Ventures"/>
    <x v="3"/>
    <s v="Washington DC"/>
    <s v="PRD-004"/>
    <x v="8"/>
    <x v="2"/>
    <s v="Carol Davis"/>
    <x v="4"/>
    <n v="3"/>
    <n v="349.99"/>
    <n v="1049.97"/>
    <n v="0"/>
    <n v="0"/>
    <n v="1049.97"/>
    <n v="84"/>
    <n v="1133.97"/>
    <x v="2"/>
  </r>
  <r>
    <s v="TXN-00107"/>
    <x v="98"/>
    <x v="0"/>
    <s v="C010"/>
    <s v="Jade Innovations"/>
    <x v="2"/>
    <s v="San Francisco"/>
    <s v="PRD-013"/>
    <x v="4"/>
    <x v="2"/>
    <s v="Bob Chen"/>
    <x v="1"/>
    <n v="9"/>
    <n v="229.99"/>
    <n v="2069.91"/>
    <n v="0.08"/>
    <n v="165.59"/>
    <n v="1904.32"/>
    <n v="152.35"/>
    <n v="2056.67"/>
    <x v="1"/>
  </r>
  <r>
    <s v="TXN-00162"/>
    <x v="98"/>
    <x v="0"/>
    <s v="C009"/>
    <s v="Ironclad Partners"/>
    <x v="0"/>
    <s v="Detroit"/>
    <s v="PRD-008"/>
    <x v="12"/>
    <x v="1"/>
    <s v="David Kim"/>
    <x v="2"/>
    <n v="19"/>
    <n v="399.99"/>
    <n v="7599.81"/>
    <n v="0.05"/>
    <n v="379.99"/>
    <n v="7219.82"/>
    <n v="577.59"/>
    <n v="7797.41"/>
    <x v="1"/>
  </r>
  <r>
    <s v="TXN-00158"/>
    <x v="99"/>
    <x v="0"/>
    <s v="C007"/>
    <s v="Global Dynamics"/>
    <x v="3"/>
    <s v="Philadelphia"/>
    <s v="PRD-012"/>
    <x v="6"/>
    <x v="0"/>
    <s v="Carol Davis"/>
    <x v="0"/>
    <n v="16"/>
    <n v="5.99"/>
    <n v="95.84"/>
    <n v="0.05"/>
    <n v="4.79"/>
    <n v="91.05"/>
    <n v="7.28"/>
    <n v="0"/>
    <x v="0"/>
  </r>
  <r>
    <s v="TXN-00088"/>
    <x v="100"/>
    <x v="0"/>
    <s v="C010"/>
    <s v="Jade Innovations"/>
    <x v="2"/>
    <s v="San Francisco"/>
    <s v="PRD-013"/>
    <x v="4"/>
    <x v="2"/>
    <s v="Eva Patel"/>
    <x v="2"/>
    <n v="15"/>
    <n v="229.99"/>
    <n v="3449.85"/>
    <n v="0.05"/>
    <n v="172.49"/>
    <n v="3277.36"/>
    <n v="262.19"/>
    <n v="3539.55"/>
    <x v="1"/>
  </r>
  <r>
    <s v="TXN-00097"/>
    <x v="100"/>
    <x v="0"/>
    <s v="C009"/>
    <s v="Ironclad Partners"/>
    <x v="0"/>
    <s v="Detroit"/>
    <s v="PRD-011"/>
    <x v="7"/>
    <x v="1"/>
    <s v="Eva Patel"/>
    <x v="0"/>
    <n v="25"/>
    <n v="249.99"/>
    <n v="6249.75"/>
    <n v="0.08"/>
    <n v="499.98"/>
    <n v="5749.77"/>
    <n v="459.98"/>
    <n v="6209.75"/>
    <x v="1"/>
  </r>
  <r>
    <s v="TXN-00127"/>
    <x v="101"/>
    <x v="0"/>
    <s v="C014"/>
    <s v="Nexus Trading"/>
    <x v="2"/>
    <s v="Denver"/>
    <s v="PRD-006"/>
    <x v="0"/>
    <x v="0"/>
    <s v="Bob Chen"/>
    <x v="3"/>
    <n v="29"/>
    <n v="8.99"/>
    <n v="260.70999999999998"/>
    <n v="0.08"/>
    <n v="20.86"/>
    <n v="239.85"/>
    <n v="19.190000000000001"/>
    <n v="259.04000000000002"/>
    <x v="1"/>
  </r>
  <r>
    <s v="TXN-00147"/>
    <x v="101"/>
    <x v="0"/>
    <s v="C010"/>
    <s v="Jade Innovations"/>
    <x v="2"/>
    <s v="San Francisco"/>
    <s v="PRD-010"/>
    <x v="1"/>
    <x v="1"/>
    <s v="Eva Patel"/>
    <x v="4"/>
    <n v="13"/>
    <n v="89.99"/>
    <n v="1169.8699999999999"/>
    <n v="0.05"/>
    <n v="58.49"/>
    <n v="1111.3800000000001"/>
    <n v="88.91"/>
    <n v="0"/>
    <x v="0"/>
  </r>
  <r>
    <s v="TXN-00183"/>
    <x v="102"/>
    <x v="0"/>
    <s v="C002"/>
    <s v="Blue Ridge Corp"/>
    <x v="1"/>
    <s v="Atlanta"/>
    <s v="PRD-014"/>
    <x v="10"/>
    <x v="1"/>
    <s v="David Kim"/>
    <x v="3"/>
    <n v="30"/>
    <n v="479.99"/>
    <n v="14399.7"/>
    <n v="0.08"/>
    <n v="1151.98"/>
    <n v="13247.72"/>
    <n v="1059.82"/>
    <n v="0"/>
    <x v="0"/>
  </r>
  <r>
    <s v="TXN-00096"/>
    <x v="103"/>
    <x v="0"/>
    <s v="C014"/>
    <s v="Nexus Trading"/>
    <x v="2"/>
    <s v="Denver"/>
    <s v="PRD-015"/>
    <x v="11"/>
    <x v="0"/>
    <s v="Alice Morgan"/>
    <x v="1"/>
    <n v="26"/>
    <n v="79.989999999999995"/>
    <n v="2079.7399999999998"/>
    <n v="0.16"/>
    <n v="332.76"/>
    <n v="1746.98"/>
    <n v="139.76"/>
    <n v="1886.74"/>
    <x v="1"/>
  </r>
  <r>
    <s v="TXN-00041"/>
    <x v="104"/>
    <x v="0"/>
    <s v="C011"/>
    <s v="Keystone Ventures"/>
    <x v="3"/>
    <s v="Washington DC"/>
    <s v="PRD-002"/>
    <x v="9"/>
    <x v="1"/>
    <s v="David Kim"/>
    <x v="2"/>
    <n v="14"/>
    <n v="29.99"/>
    <n v="419.86"/>
    <n v="0.05"/>
    <n v="20.99"/>
    <n v="398.87"/>
    <n v="31.91"/>
    <n v="430.78"/>
    <x v="1"/>
  </r>
  <r>
    <s v="TXN-00074"/>
    <x v="105"/>
    <x v="0"/>
    <s v="C003"/>
    <s v="Crestview Ltd"/>
    <x v="3"/>
    <s v="Boston"/>
    <s v="PRD-005"/>
    <x v="3"/>
    <x v="2"/>
    <s v="Alice Morgan"/>
    <x v="1"/>
    <n v="28"/>
    <n v="599.99"/>
    <n v="16799.72"/>
    <n v="0.16"/>
    <n v="2687.96"/>
    <n v="14111.76"/>
    <n v="1128.94"/>
    <n v="15240.7"/>
    <x v="1"/>
  </r>
  <r>
    <s v="TXN-00105"/>
    <x v="106"/>
    <x v="0"/>
    <s v="C015"/>
    <s v="Orbit Industries"/>
    <x v="1"/>
    <s v="Houston"/>
    <s v="PRD-007"/>
    <x v="13"/>
    <x v="1"/>
    <s v="Eva Patel"/>
    <x v="3"/>
    <n v="13"/>
    <n v="129.99"/>
    <n v="1689.87"/>
    <n v="0.05"/>
    <n v="84.49"/>
    <n v="1605.38"/>
    <n v="128.43"/>
    <n v="0"/>
    <x v="0"/>
  </r>
  <r>
    <s v="TXN-00138"/>
    <x v="107"/>
    <x v="0"/>
    <s v="C012"/>
    <s v="Luminary Co"/>
    <x v="1"/>
    <s v="Dallas"/>
    <s v="PRD-013"/>
    <x v="4"/>
    <x v="2"/>
    <s v="Bob Chen"/>
    <x v="4"/>
    <n v="24"/>
    <n v="229.99"/>
    <n v="5519.76"/>
    <n v="0.08"/>
    <n v="441.58"/>
    <n v="5078.18"/>
    <n v="406.25"/>
    <n v="5484.43"/>
    <x v="1"/>
  </r>
  <r>
    <s v="TXN-00178"/>
    <x v="107"/>
    <x v="0"/>
    <s v="C011"/>
    <s v="Keystone Ventures"/>
    <x v="3"/>
    <s v="Washington DC"/>
    <s v="PRD-010"/>
    <x v="1"/>
    <x v="1"/>
    <s v="David Kim"/>
    <x v="4"/>
    <n v="18"/>
    <n v="89.99"/>
    <n v="1619.82"/>
    <n v="0.05"/>
    <n v="80.989999999999995"/>
    <n v="1538.83"/>
    <n v="123.11"/>
    <n v="1661.94"/>
    <x v="1"/>
  </r>
  <r>
    <s v="TXN-00197"/>
    <x v="107"/>
    <x v="0"/>
    <s v="C005"/>
    <s v="Eagle Tech"/>
    <x v="0"/>
    <s v="Chicago"/>
    <s v="PRD-012"/>
    <x v="6"/>
    <x v="0"/>
    <s v="David Kim"/>
    <x v="2"/>
    <n v="13"/>
    <n v="5.99"/>
    <n v="77.87"/>
    <n v="0.05"/>
    <n v="3.89"/>
    <n v="73.98"/>
    <n v="5.92"/>
    <n v="79.900000000000006"/>
    <x v="1"/>
  </r>
  <r>
    <s v="TXN-00123"/>
    <x v="108"/>
    <x v="0"/>
    <s v="C009"/>
    <s v="Ironclad Partners"/>
    <x v="0"/>
    <s v="Detroit"/>
    <s v="PRD-002"/>
    <x v="9"/>
    <x v="1"/>
    <s v="Carol Davis"/>
    <x v="3"/>
    <n v="27"/>
    <n v="29.99"/>
    <n v="809.73"/>
    <n v="0.08"/>
    <n v="64.78"/>
    <n v="744.95"/>
    <n v="59.6"/>
    <n v="804.55"/>
    <x v="1"/>
  </r>
  <r>
    <s v="TXN-00144"/>
    <x v="109"/>
    <x v="0"/>
    <s v="C005"/>
    <s v="Eagle Tech"/>
    <x v="0"/>
    <s v="Chicago"/>
    <s v="PRD-001"/>
    <x v="5"/>
    <x v="1"/>
    <s v="David Kim"/>
    <x v="3"/>
    <n v="13"/>
    <n v="1199.99"/>
    <n v="15599.87"/>
    <n v="0.05"/>
    <n v="779.99"/>
    <n v="14819.88"/>
    <n v="1185.5899999999999"/>
    <n v="16005.47"/>
    <x v="1"/>
  </r>
  <r>
    <s v="TXN-00205"/>
    <x v="110"/>
    <x v="0"/>
    <s v="C004"/>
    <s v="Delta Enterprises"/>
    <x v="2"/>
    <s v="Los Angeles"/>
    <s v="PRD-003"/>
    <x v="14"/>
    <x v="1"/>
    <s v="Bob Chen"/>
    <x v="0"/>
    <n v="17"/>
    <n v="49.99"/>
    <n v="849.83"/>
    <n v="0.05"/>
    <n v="42.49"/>
    <n v="807.34"/>
    <n v="64.59"/>
    <n v="871.93"/>
    <x v="1"/>
  </r>
  <r>
    <s v="TXN-00176"/>
    <x v="111"/>
    <x v="0"/>
    <s v="C002"/>
    <s v="Blue Ridge Corp"/>
    <x v="1"/>
    <s v="Atlanta"/>
    <s v="PRD-014"/>
    <x v="10"/>
    <x v="1"/>
    <s v="Carol Davis"/>
    <x v="1"/>
    <n v="30"/>
    <n v="479.99"/>
    <n v="14399.7"/>
    <n v="0.16"/>
    <n v="2303.9499999999998"/>
    <n v="12095.75"/>
    <n v="967.66"/>
    <n v="13063.41"/>
    <x v="1"/>
  </r>
  <r>
    <s v="TXN-00020"/>
    <x v="112"/>
    <x v="0"/>
    <s v="C010"/>
    <s v="Jade Innovations"/>
    <x v="2"/>
    <s v="San Francisco"/>
    <s v="PRD-015"/>
    <x v="11"/>
    <x v="0"/>
    <s v="David Kim"/>
    <x v="2"/>
    <n v="5"/>
    <n v="79.989999999999995"/>
    <n v="399.95"/>
    <n v="0"/>
    <n v="0"/>
    <n v="399.95"/>
    <n v="32"/>
    <n v="431.95"/>
    <x v="1"/>
  </r>
  <r>
    <s v="TXN-00166"/>
    <x v="113"/>
    <x v="0"/>
    <s v="C005"/>
    <s v="Eagle Tech"/>
    <x v="0"/>
    <s v="Chicago"/>
    <s v="PRD-006"/>
    <x v="0"/>
    <x v="0"/>
    <s v="Carol Davis"/>
    <x v="3"/>
    <n v="28"/>
    <n v="8.99"/>
    <n v="251.72"/>
    <n v="0.08"/>
    <n v="20.14"/>
    <n v="231.58"/>
    <n v="18.53"/>
    <n v="250.11"/>
    <x v="1"/>
  </r>
  <r>
    <s v="TXN-00032"/>
    <x v="114"/>
    <x v="0"/>
    <s v="C011"/>
    <s v="Keystone Ventures"/>
    <x v="3"/>
    <s v="Washington DC"/>
    <s v="PRD-003"/>
    <x v="14"/>
    <x v="1"/>
    <s v="David Kim"/>
    <x v="0"/>
    <n v="9"/>
    <n v="49.99"/>
    <n v="449.91"/>
    <n v="0"/>
    <n v="0"/>
    <n v="449.91"/>
    <n v="35.99"/>
    <n v="485.9"/>
    <x v="1"/>
  </r>
  <r>
    <s v="TXN-00051"/>
    <x v="115"/>
    <x v="0"/>
    <s v="C001"/>
    <s v="Apex Solutions"/>
    <x v="0"/>
    <s v="New York"/>
    <s v="PRD-001"/>
    <x v="5"/>
    <x v="1"/>
    <s v="Eva Patel"/>
    <x v="1"/>
    <n v="30"/>
    <n v="1199.99"/>
    <n v="35999.699999999997"/>
    <n v="0.16"/>
    <n v="5759.95"/>
    <n v="30239.75"/>
    <n v="2419.1799999999998"/>
    <n v="0"/>
    <x v="0"/>
  </r>
  <r>
    <s v="TXN-00013"/>
    <x v="116"/>
    <x v="0"/>
    <s v="C011"/>
    <s v="Keystone Ventures"/>
    <x v="3"/>
    <s v="Washington DC"/>
    <s v="PRD-015"/>
    <x v="11"/>
    <x v="0"/>
    <s v="Alice Morgan"/>
    <x v="0"/>
    <n v="6"/>
    <n v="79.989999999999995"/>
    <n v="479.94"/>
    <n v="0"/>
    <n v="0"/>
    <n v="479.94"/>
    <n v="38.4"/>
    <n v="518.34"/>
    <x v="2"/>
  </r>
  <r>
    <s v="TXN-00043"/>
    <x v="117"/>
    <x v="0"/>
    <s v="C014"/>
    <s v="Nexus Trading"/>
    <x v="2"/>
    <s v="Denver"/>
    <s v="PRD-013"/>
    <x v="4"/>
    <x v="2"/>
    <s v="Alice Morgan"/>
    <x v="4"/>
    <n v="7"/>
    <n v="229.99"/>
    <n v="1609.93"/>
    <n v="0"/>
    <n v="0"/>
    <n v="1609.93"/>
    <n v="128.79"/>
    <n v="1738.72"/>
    <x v="1"/>
  </r>
  <r>
    <s v="TXN-00077"/>
    <x v="117"/>
    <x v="0"/>
    <s v="C005"/>
    <s v="Eagle Tech"/>
    <x v="0"/>
    <s v="Chicago"/>
    <s v="PRD-013"/>
    <x v="4"/>
    <x v="2"/>
    <s v="Carol Davis"/>
    <x v="0"/>
    <n v="22"/>
    <n v="229.99"/>
    <n v="5059.78"/>
    <n v="0.08"/>
    <n v="404.78"/>
    <n v="4655"/>
    <n v="372.4"/>
    <n v="5027.3999999999996"/>
    <x v="1"/>
  </r>
  <r>
    <s v="TXN-00137"/>
    <x v="117"/>
    <x v="0"/>
    <s v="C012"/>
    <s v="Luminary Co"/>
    <x v="1"/>
    <s v="Dallas"/>
    <s v="PRD-002"/>
    <x v="9"/>
    <x v="1"/>
    <s v="Bob Chen"/>
    <x v="2"/>
    <n v="24"/>
    <n v="29.99"/>
    <n v="719.76"/>
    <n v="0.08"/>
    <n v="57.58"/>
    <n v="662.18"/>
    <n v="52.97"/>
    <n v="715.15"/>
    <x v="1"/>
  </r>
  <r>
    <s v="TXN-00058"/>
    <x v="118"/>
    <x v="0"/>
    <s v="C008"/>
    <s v="Horizon Group"/>
    <x v="2"/>
    <s v="Seattle"/>
    <s v="PRD-001"/>
    <x v="5"/>
    <x v="1"/>
    <s v="Eva Patel"/>
    <x v="0"/>
    <n v="3"/>
    <n v="1199.99"/>
    <n v="3599.97"/>
    <n v="0"/>
    <n v="0"/>
    <n v="3599.97"/>
    <n v="288"/>
    <n v="3887.97"/>
    <x v="1"/>
  </r>
  <r>
    <s v="TXN-00081"/>
    <x v="118"/>
    <x v="0"/>
    <s v="C005"/>
    <s v="Eagle Tech"/>
    <x v="0"/>
    <s v="Chicago"/>
    <s v="PRD-004"/>
    <x v="8"/>
    <x v="2"/>
    <s v="Alice Morgan"/>
    <x v="1"/>
    <n v="17"/>
    <n v="349.99"/>
    <n v="5949.83"/>
    <n v="0.13"/>
    <n v="773.48"/>
    <n v="5176.3500000000004"/>
    <n v="414.11"/>
    <n v="5590.46"/>
    <x v="1"/>
  </r>
  <r>
    <s v="TXN-00125"/>
    <x v="118"/>
    <x v="0"/>
    <s v="C012"/>
    <s v="Luminary Co"/>
    <x v="1"/>
    <s v="Dallas"/>
    <s v="PRD-003"/>
    <x v="14"/>
    <x v="1"/>
    <s v="Eva Patel"/>
    <x v="2"/>
    <n v="26"/>
    <n v="49.99"/>
    <n v="1299.74"/>
    <n v="0.08"/>
    <n v="103.98"/>
    <n v="1195.76"/>
    <n v="95.66"/>
    <n v="0"/>
    <x v="0"/>
  </r>
  <r>
    <s v="TXN-00214"/>
    <x v="118"/>
    <x v="0"/>
    <s v="C005"/>
    <s v="Eagle Tech"/>
    <x v="0"/>
    <s v="Chicago"/>
    <s v="PRD-001"/>
    <x v="5"/>
    <x v="1"/>
    <s v="David Kim"/>
    <x v="3"/>
    <n v="8"/>
    <n v="1199.99"/>
    <n v="9599.92"/>
    <n v="0"/>
    <n v="0"/>
    <n v="9599.92"/>
    <n v="767.99"/>
    <n v="10367.91"/>
    <x v="1"/>
  </r>
  <r>
    <s v="TXN-00060"/>
    <x v="119"/>
    <x v="0"/>
    <s v="C004"/>
    <s v="Delta Enterprises"/>
    <x v="2"/>
    <s v="Los Angeles"/>
    <s v="PRD-015"/>
    <x v="11"/>
    <x v="0"/>
    <s v="Carol Davis"/>
    <x v="2"/>
    <n v="15"/>
    <n v="79.989999999999995"/>
    <n v="1199.8499999999999"/>
    <n v="0.05"/>
    <n v="59.99"/>
    <n v="1139.8599999999999"/>
    <n v="91.19"/>
    <n v="1231.05"/>
    <x v="1"/>
  </r>
  <r>
    <s v="TXN-00154"/>
    <x v="119"/>
    <x v="0"/>
    <s v="C013"/>
    <s v="Maverick Systems"/>
    <x v="0"/>
    <s v="Minneapolis"/>
    <s v="PRD-013"/>
    <x v="4"/>
    <x v="2"/>
    <s v="Eva Patel"/>
    <x v="4"/>
    <n v="4"/>
    <n v="229.99"/>
    <n v="919.96"/>
    <n v="0"/>
    <n v="0"/>
    <n v="919.96"/>
    <n v="73.599999999999994"/>
    <n v="993.56"/>
    <x v="1"/>
  </r>
  <r>
    <s v="TXN-00106"/>
    <x v="120"/>
    <x v="0"/>
    <s v="C006"/>
    <s v="Foxfire Inc"/>
    <x v="1"/>
    <s v="Miami"/>
    <s v="PRD-001"/>
    <x v="5"/>
    <x v="1"/>
    <s v="Carol Davis"/>
    <x v="1"/>
    <n v="18"/>
    <n v="1199.99"/>
    <n v="21599.82"/>
    <n v="0.13"/>
    <n v="2807.98"/>
    <n v="18791.84"/>
    <n v="1503.35"/>
    <n v="20295.189999999999"/>
    <x v="1"/>
  </r>
  <r>
    <s v="TXN-00135"/>
    <x v="121"/>
    <x v="0"/>
    <s v="C009"/>
    <s v="Ironclad Partners"/>
    <x v="0"/>
    <s v="Detroit"/>
    <s v="PRD-008"/>
    <x v="12"/>
    <x v="1"/>
    <s v="Eva Patel"/>
    <x v="2"/>
    <n v="24"/>
    <n v="399.99"/>
    <n v="9599.76"/>
    <n v="0.08"/>
    <n v="767.98"/>
    <n v="8831.7800000000007"/>
    <n v="706.54"/>
    <n v="9538.32"/>
    <x v="1"/>
  </r>
  <r>
    <s v="TXN-00008"/>
    <x v="122"/>
    <x v="0"/>
    <s v="C008"/>
    <s v="Horizon Group"/>
    <x v="2"/>
    <s v="Seattle"/>
    <s v="PRD-012"/>
    <x v="6"/>
    <x v="0"/>
    <s v="Eva Patel"/>
    <x v="3"/>
    <n v="3"/>
    <n v="5.99"/>
    <n v="17.97"/>
    <n v="0"/>
    <n v="0"/>
    <n v="17.97"/>
    <n v="1.44"/>
    <n v="19.41"/>
    <x v="1"/>
  </r>
  <r>
    <s v="TXN-00150"/>
    <x v="122"/>
    <x v="0"/>
    <s v="C011"/>
    <s v="Keystone Ventures"/>
    <x v="3"/>
    <s v="Washington DC"/>
    <s v="PRD-005"/>
    <x v="3"/>
    <x v="2"/>
    <s v="Alice Morgan"/>
    <x v="4"/>
    <n v="6"/>
    <n v="599.99"/>
    <n v="3599.94"/>
    <n v="0"/>
    <n v="0"/>
    <n v="3599.94"/>
    <n v="288"/>
    <n v="3887.94"/>
    <x v="1"/>
  </r>
  <r>
    <s v="TXN-00061"/>
    <x v="123"/>
    <x v="0"/>
    <s v="C005"/>
    <s v="Eagle Tech"/>
    <x v="0"/>
    <s v="Chicago"/>
    <s v="PRD-012"/>
    <x v="6"/>
    <x v="0"/>
    <s v="Eva Patel"/>
    <x v="0"/>
    <n v="22"/>
    <n v="5.99"/>
    <n v="131.78"/>
    <n v="0.08"/>
    <n v="10.54"/>
    <n v="121.24"/>
    <n v="9.6999999999999993"/>
    <n v="130.94"/>
    <x v="1"/>
  </r>
  <r>
    <s v="TXN-00211"/>
    <x v="124"/>
    <x v="0"/>
    <s v="C002"/>
    <s v="Blue Ridge Corp"/>
    <x v="1"/>
    <s v="Atlanta"/>
    <s v="PRD-006"/>
    <x v="0"/>
    <x v="0"/>
    <s v="Bob Chen"/>
    <x v="1"/>
    <n v="20"/>
    <n v="8.99"/>
    <n v="179.8"/>
    <n v="0.16"/>
    <n v="28.77"/>
    <n v="151.03"/>
    <n v="12.08"/>
    <n v="163.11000000000001"/>
    <x v="1"/>
  </r>
  <r>
    <s v="TXN-00145"/>
    <x v="125"/>
    <x v="0"/>
    <s v="C010"/>
    <s v="Jade Innovations"/>
    <x v="2"/>
    <s v="San Francisco"/>
    <s v="PRD-002"/>
    <x v="9"/>
    <x v="1"/>
    <s v="Alice Morgan"/>
    <x v="4"/>
    <n v="26"/>
    <n v="29.99"/>
    <n v="779.74"/>
    <n v="0.08"/>
    <n v="62.38"/>
    <n v="717.36"/>
    <n v="57.39"/>
    <n v="774.75"/>
    <x v="1"/>
  </r>
  <r>
    <s v="TXN-00121"/>
    <x v="126"/>
    <x v="0"/>
    <s v="C002"/>
    <s v="Blue Ridge Corp"/>
    <x v="1"/>
    <s v="Atlanta"/>
    <s v="PRD-004"/>
    <x v="8"/>
    <x v="2"/>
    <s v="Carol Davis"/>
    <x v="0"/>
    <n v="26"/>
    <n v="349.99"/>
    <n v="9099.74"/>
    <n v="0.08"/>
    <n v="727.98"/>
    <n v="8371.76"/>
    <n v="669.74"/>
    <n v="9041.5"/>
    <x v="1"/>
  </r>
  <r>
    <s v="TXN-00191"/>
    <x v="126"/>
    <x v="0"/>
    <s v="C007"/>
    <s v="Global Dynamics"/>
    <x v="3"/>
    <s v="Philadelphia"/>
    <s v="PRD-006"/>
    <x v="0"/>
    <x v="0"/>
    <s v="Bob Chen"/>
    <x v="4"/>
    <n v="14"/>
    <n v="8.99"/>
    <n v="125.86"/>
    <n v="0.05"/>
    <n v="6.29"/>
    <n v="119.57"/>
    <n v="9.57"/>
    <n v="0"/>
    <x v="0"/>
  </r>
  <r>
    <s v="TXN-00199"/>
    <x v="126"/>
    <x v="0"/>
    <s v="C005"/>
    <s v="Eagle Tech"/>
    <x v="0"/>
    <s v="Chicago"/>
    <s v="PRD-012"/>
    <x v="6"/>
    <x v="0"/>
    <s v="Alice Morgan"/>
    <x v="1"/>
    <n v="1"/>
    <n v="5.99"/>
    <n v="5.99"/>
    <n v="0.08"/>
    <n v="0.48"/>
    <n v="5.51"/>
    <n v="0.44"/>
    <n v="5.95"/>
    <x v="1"/>
  </r>
  <r>
    <s v="TXN-00016"/>
    <x v="127"/>
    <x v="0"/>
    <s v="C006"/>
    <s v="Foxfire Inc"/>
    <x v="1"/>
    <s v="Miami"/>
    <s v="PRD-013"/>
    <x v="4"/>
    <x v="2"/>
    <s v="David Kim"/>
    <x v="2"/>
    <n v="7"/>
    <n v="229.99"/>
    <n v="1609.93"/>
    <n v="0"/>
    <n v="0"/>
    <n v="1609.93"/>
    <n v="128.79"/>
    <n v="1738.72"/>
    <x v="1"/>
  </r>
  <r>
    <s v="TXN-00030"/>
    <x v="127"/>
    <x v="0"/>
    <s v="C014"/>
    <s v="Nexus Trading"/>
    <x v="2"/>
    <s v="Denver"/>
    <s v="PRD-015"/>
    <x v="11"/>
    <x v="0"/>
    <s v="Carol Davis"/>
    <x v="4"/>
    <n v="8"/>
    <n v="79.989999999999995"/>
    <n v="639.91999999999996"/>
    <n v="0"/>
    <n v="0"/>
    <n v="639.91999999999996"/>
    <n v="51.19"/>
    <n v="691.11"/>
    <x v="1"/>
  </r>
  <r>
    <s v="TXN-00053"/>
    <x v="128"/>
    <x v="0"/>
    <s v="C011"/>
    <s v="Keystone Ventures"/>
    <x v="3"/>
    <s v="Washington DC"/>
    <s v="PRD-002"/>
    <x v="9"/>
    <x v="1"/>
    <s v="Bob Chen"/>
    <x v="1"/>
    <n v="29"/>
    <n v="29.99"/>
    <n v="869.71"/>
    <n v="0.16"/>
    <n v="139.15"/>
    <n v="730.56"/>
    <n v="58.44"/>
    <n v="789"/>
    <x v="1"/>
  </r>
  <r>
    <s v="TXN-00148"/>
    <x v="128"/>
    <x v="0"/>
    <s v="C008"/>
    <s v="Horizon Group"/>
    <x v="2"/>
    <s v="Seattle"/>
    <s v="PRD-015"/>
    <x v="11"/>
    <x v="0"/>
    <s v="Carol Davis"/>
    <x v="0"/>
    <n v="10"/>
    <n v="79.989999999999995"/>
    <n v="799.9"/>
    <n v="0.05"/>
    <n v="40"/>
    <n v="759.9"/>
    <n v="60.79"/>
    <n v="820.69"/>
    <x v="1"/>
  </r>
  <r>
    <s v="TXN-00156"/>
    <x v="128"/>
    <x v="0"/>
    <s v="C013"/>
    <s v="Maverick Systems"/>
    <x v="0"/>
    <s v="Minneapolis"/>
    <s v="PRD-003"/>
    <x v="14"/>
    <x v="1"/>
    <s v="Carol Davis"/>
    <x v="0"/>
    <n v="27"/>
    <n v="49.99"/>
    <n v="1349.73"/>
    <n v="0.08"/>
    <n v="107.98"/>
    <n v="1241.75"/>
    <n v="99.34"/>
    <n v="1341.09"/>
    <x v="2"/>
  </r>
  <r>
    <s v="TXN-00039"/>
    <x v="129"/>
    <x v="0"/>
    <s v="C004"/>
    <s v="Delta Enterprises"/>
    <x v="2"/>
    <s v="Los Angeles"/>
    <s v="PRD-008"/>
    <x v="12"/>
    <x v="1"/>
    <s v="Eva Patel"/>
    <x v="4"/>
    <n v="30"/>
    <n v="399.99"/>
    <n v="11999.7"/>
    <n v="0.08"/>
    <n v="959.98"/>
    <n v="11039.72"/>
    <n v="883.18"/>
    <n v="11922.9"/>
    <x v="2"/>
  </r>
  <r>
    <s v="TXN-00160"/>
    <x v="130"/>
    <x v="0"/>
    <s v="C001"/>
    <s v="Apex Solutions"/>
    <x v="0"/>
    <s v="New York"/>
    <s v="PRD-005"/>
    <x v="3"/>
    <x v="2"/>
    <s v="Alice Morgan"/>
    <x v="4"/>
    <n v="27"/>
    <n v="599.99"/>
    <n v="16199.73"/>
    <n v="0.08"/>
    <n v="1295.98"/>
    <n v="14903.75"/>
    <n v="1192.3"/>
    <n v="16096.05"/>
    <x v="2"/>
  </r>
  <r>
    <s v="TXN-00080"/>
    <x v="131"/>
    <x v="0"/>
    <s v="C010"/>
    <s v="Jade Innovations"/>
    <x v="2"/>
    <s v="San Francisco"/>
    <s v="PRD-007"/>
    <x v="13"/>
    <x v="1"/>
    <s v="Eva Patel"/>
    <x v="3"/>
    <n v="29"/>
    <n v="129.99"/>
    <n v="3769.71"/>
    <n v="0.08"/>
    <n v="301.58"/>
    <n v="3468.13"/>
    <n v="277.45"/>
    <n v="3745.58"/>
    <x v="1"/>
  </r>
  <r>
    <s v="TXN-00118"/>
    <x v="132"/>
    <x v="0"/>
    <s v="C012"/>
    <s v="Luminary Co"/>
    <x v="1"/>
    <s v="Dallas"/>
    <s v="PRD-010"/>
    <x v="1"/>
    <x v="1"/>
    <s v="Alice Morgan"/>
    <x v="4"/>
    <n v="4"/>
    <n v="89.99"/>
    <n v="359.96"/>
    <n v="0"/>
    <n v="0"/>
    <n v="359.96"/>
    <n v="28.8"/>
    <n v="388.76"/>
    <x v="1"/>
  </r>
  <r>
    <s v="TXN-00193"/>
    <x v="133"/>
    <x v="0"/>
    <s v="C007"/>
    <s v="Global Dynamics"/>
    <x v="3"/>
    <s v="Philadelphia"/>
    <s v="PRD-014"/>
    <x v="10"/>
    <x v="1"/>
    <s v="Eva Patel"/>
    <x v="4"/>
    <n v="30"/>
    <n v="479.99"/>
    <n v="14399.7"/>
    <n v="0.08"/>
    <n v="1151.98"/>
    <n v="13247.72"/>
    <n v="1059.82"/>
    <n v="14307.54"/>
    <x v="1"/>
  </r>
  <r>
    <s v="TXN-00177"/>
    <x v="134"/>
    <x v="0"/>
    <s v="C014"/>
    <s v="Nexus Trading"/>
    <x v="2"/>
    <s v="Denver"/>
    <s v="PRD-005"/>
    <x v="3"/>
    <x v="2"/>
    <s v="Alice Morgan"/>
    <x v="2"/>
    <n v="10"/>
    <n v="599.99"/>
    <n v="5999.9"/>
    <n v="0.05"/>
    <n v="300"/>
    <n v="5699.9"/>
    <n v="455.99"/>
    <n v="6155.89"/>
    <x v="2"/>
  </r>
  <r>
    <s v="TXN-00004"/>
    <x v="135"/>
    <x v="0"/>
    <s v="C004"/>
    <s v="Delta Enterprises"/>
    <x v="2"/>
    <s v="Los Angeles"/>
    <s v="PRD-009"/>
    <x v="2"/>
    <x v="2"/>
    <s v="Eva Patel"/>
    <x v="1"/>
    <n v="15"/>
    <n v="39.99"/>
    <n v="599.85"/>
    <n v="0.13"/>
    <n v="77.98"/>
    <n v="521.87"/>
    <n v="41.75"/>
    <n v="563.62"/>
    <x v="1"/>
  </r>
  <r>
    <s v="TXN-00036"/>
    <x v="135"/>
    <x v="0"/>
    <s v="C006"/>
    <s v="Foxfire Inc"/>
    <x v="1"/>
    <s v="Miami"/>
    <s v="PRD-002"/>
    <x v="9"/>
    <x v="1"/>
    <s v="Alice Morgan"/>
    <x v="0"/>
    <n v="8"/>
    <n v="29.99"/>
    <n v="239.92"/>
    <n v="0"/>
    <n v="0"/>
    <n v="239.92"/>
    <n v="19.190000000000001"/>
    <n v="0"/>
    <x v="0"/>
  </r>
  <r>
    <s v="TXN-00052"/>
    <x v="136"/>
    <x v="0"/>
    <s v="C001"/>
    <s v="Apex Solutions"/>
    <x v="0"/>
    <s v="New York"/>
    <s v="PRD-003"/>
    <x v="14"/>
    <x v="1"/>
    <s v="Eva Patel"/>
    <x v="3"/>
    <n v="3"/>
    <n v="49.99"/>
    <n v="149.97"/>
    <n v="0"/>
    <n v="0"/>
    <n v="149.97"/>
    <n v="12"/>
    <n v="161.97"/>
    <x v="1"/>
  </r>
  <r>
    <s v="TXN-00151"/>
    <x v="136"/>
    <x v="0"/>
    <s v="C003"/>
    <s v="Crestview Ltd"/>
    <x v="3"/>
    <s v="Boston"/>
    <s v="PRD-002"/>
    <x v="9"/>
    <x v="1"/>
    <s v="Alice Morgan"/>
    <x v="1"/>
    <n v="23"/>
    <n v="29.99"/>
    <n v="689.77"/>
    <n v="0.16"/>
    <n v="110.36"/>
    <n v="579.41"/>
    <n v="46.35"/>
    <n v="625.76"/>
    <x v="1"/>
  </r>
  <r>
    <s v="TXN-00130"/>
    <x v="137"/>
    <x v="0"/>
    <s v="C013"/>
    <s v="Maverick Systems"/>
    <x v="0"/>
    <s v="Minneapolis"/>
    <s v="PRD-006"/>
    <x v="0"/>
    <x v="0"/>
    <s v="Carol Davis"/>
    <x v="2"/>
    <n v="29"/>
    <n v="8.99"/>
    <n v="260.70999999999998"/>
    <n v="0.08"/>
    <n v="20.86"/>
    <n v="239.85"/>
    <n v="19.190000000000001"/>
    <n v="259.04000000000002"/>
    <x v="1"/>
  </r>
  <r>
    <s v="TXN-00159"/>
    <x v="138"/>
    <x v="0"/>
    <s v="C010"/>
    <s v="Jade Innovations"/>
    <x v="2"/>
    <s v="San Francisco"/>
    <s v="PRD-002"/>
    <x v="9"/>
    <x v="1"/>
    <s v="Alice Morgan"/>
    <x v="1"/>
    <n v="11"/>
    <n v="29.99"/>
    <n v="329.89"/>
    <n v="0.13"/>
    <n v="42.89"/>
    <n v="287"/>
    <n v="22.96"/>
    <n v="309.95999999999998"/>
    <x v="2"/>
  </r>
  <r>
    <s v="TXN-00117"/>
    <x v="139"/>
    <x v="0"/>
    <s v="C004"/>
    <s v="Delta Enterprises"/>
    <x v="2"/>
    <s v="Los Angeles"/>
    <s v="PRD-010"/>
    <x v="1"/>
    <x v="1"/>
    <s v="David Kim"/>
    <x v="2"/>
    <n v="6"/>
    <n v="89.99"/>
    <n v="539.94000000000005"/>
    <n v="0"/>
    <n v="0"/>
    <n v="539.94000000000005"/>
    <n v="43.2"/>
    <n v="583.14"/>
    <x v="1"/>
  </r>
  <r>
    <s v="TXN-00192"/>
    <x v="140"/>
    <x v="0"/>
    <s v="C013"/>
    <s v="Maverick Systems"/>
    <x v="0"/>
    <s v="Minneapolis"/>
    <s v="PRD-011"/>
    <x v="7"/>
    <x v="1"/>
    <s v="Bob Chen"/>
    <x v="4"/>
    <n v="3"/>
    <n v="249.99"/>
    <n v="749.97"/>
    <n v="0"/>
    <n v="0"/>
    <n v="749.97"/>
    <n v="60"/>
    <n v="809.97"/>
    <x v="1"/>
  </r>
  <r>
    <s v="TXN-00186"/>
    <x v="141"/>
    <x v="0"/>
    <s v="C002"/>
    <s v="Blue Ridge Corp"/>
    <x v="1"/>
    <s v="Atlanta"/>
    <s v="PRD-011"/>
    <x v="7"/>
    <x v="1"/>
    <s v="Carol Davis"/>
    <x v="0"/>
    <n v="11"/>
    <n v="249.99"/>
    <n v="2749.89"/>
    <n v="0.05"/>
    <n v="137.49"/>
    <n v="2612.4"/>
    <n v="208.99"/>
    <n v="2821.39"/>
    <x v="1"/>
  </r>
  <r>
    <s v="TXN-00120"/>
    <x v="142"/>
    <x v="0"/>
    <s v="C012"/>
    <s v="Luminary Co"/>
    <x v="1"/>
    <s v="Dallas"/>
    <s v="PRD-007"/>
    <x v="13"/>
    <x v="1"/>
    <s v="Bob Chen"/>
    <x v="3"/>
    <n v="23"/>
    <n v="129.99"/>
    <n v="2989.77"/>
    <n v="0.08"/>
    <n v="239.18"/>
    <n v="2750.59"/>
    <n v="220.05"/>
    <n v="0"/>
    <x v="0"/>
  </r>
  <r>
    <s v="TXN-00202"/>
    <x v="142"/>
    <x v="0"/>
    <s v="C010"/>
    <s v="Jade Innovations"/>
    <x v="2"/>
    <s v="San Francisco"/>
    <s v="PRD-004"/>
    <x v="8"/>
    <x v="2"/>
    <s v="Carol Davis"/>
    <x v="4"/>
    <n v="4"/>
    <n v="349.99"/>
    <n v="1399.96"/>
    <n v="0"/>
    <n v="0"/>
    <n v="1399.96"/>
    <n v="112"/>
    <n v="1511.96"/>
    <x v="2"/>
  </r>
  <r>
    <s v="TXN-00092"/>
    <x v="143"/>
    <x v="0"/>
    <s v="C008"/>
    <s v="Horizon Group"/>
    <x v="2"/>
    <s v="Seattle"/>
    <s v="PRD-004"/>
    <x v="8"/>
    <x v="2"/>
    <s v="Eva Patel"/>
    <x v="3"/>
    <n v="14"/>
    <n v="349.99"/>
    <n v="4899.8599999999997"/>
    <n v="0.05"/>
    <n v="244.99"/>
    <n v="4654.87"/>
    <n v="372.39"/>
    <n v="5027.26"/>
    <x v="1"/>
  </r>
  <r>
    <s v="TXN-00201"/>
    <x v="144"/>
    <x v="0"/>
    <s v="C013"/>
    <s v="Maverick Systems"/>
    <x v="0"/>
    <s v="Minneapolis"/>
    <s v="PRD-013"/>
    <x v="4"/>
    <x v="2"/>
    <s v="Bob Chen"/>
    <x v="0"/>
    <n v="8"/>
    <n v="229.99"/>
    <n v="1839.92"/>
    <n v="0"/>
    <n v="0"/>
    <n v="1839.92"/>
    <n v="147.19"/>
    <n v="1987.11"/>
    <x v="1"/>
  </r>
  <r>
    <s v="TXN-00212"/>
    <x v="144"/>
    <x v="0"/>
    <s v="C015"/>
    <s v="Orbit Industries"/>
    <x v="1"/>
    <s v="Houston"/>
    <s v="PRD-006"/>
    <x v="0"/>
    <x v="0"/>
    <s v="Eva Patel"/>
    <x v="4"/>
    <n v="3"/>
    <n v="8.99"/>
    <n v="26.97"/>
    <n v="0"/>
    <n v="0"/>
    <n v="26.97"/>
    <n v="2.16"/>
    <n v="29.13"/>
    <x v="2"/>
  </r>
  <r>
    <s v="TXN-00210"/>
    <x v="145"/>
    <x v="0"/>
    <s v="C011"/>
    <s v="Keystone Ventures"/>
    <x v="3"/>
    <s v="Washington DC"/>
    <s v="PRD-012"/>
    <x v="6"/>
    <x v="0"/>
    <s v="Carol Davis"/>
    <x v="0"/>
    <n v="27"/>
    <n v="5.99"/>
    <n v="161.72999999999999"/>
    <n v="0.08"/>
    <n v="12.94"/>
    <n v="148.79"/>
    <n v="11.9"/>
    <n v="160.69"/>
    <x v="1"/>
  </r>
  <r>
    <s v="TXN-00014"/>
    <x v="146"/>
    <x v="0"/>
    <s v="C004"/>
    <s v="Delta Enterprises"/>
    <x v="2"/>
    <s v="Los Angeles"/>
    <s v="PRD-012"/>
    <x v="6"/>
    <x v="0"/>
    <s v="Bob Chen"/>
    <x v="1"/>
    <n v="9"/>
    <n v="5.99"/>
    <n v="53.91"/>
    <n v="0.08"/>
    <n v="4.3099999999999996"/>
    <n v="49.6"/>
    <n v="3.97"/>
    <n v="53.57"/>
    <x v="1"/>
  </r>
  <r>
    <s v="TXN-00024"/>
    <x v="147"/>
    <x v="0"/>
    <s v="C012"/>
    <s v="Luminary Co"/>
    <x v="1"/>
    <s v="Dallas"/>
    <s v="PRD-011"/>
    <x v="7"/>
    <x v="1"/>
    <s v="Alice Morgan"/>
    <x v="0"/>
    <n v="25"/>
    <n v="249.99"/>
    <n v="6249.75"/>
    <n v="0.08"/>
    <n v="499.98"/>
    <n v="5749.77"/>
    <n v="459.98"/>
    <n v="6209.75"/>
    <x v="1"/>
  </r>
  <r>
    <s v="TXN-00181"/>
    <x v="148"/>
    <x v="0"/>
    <s v="C006"/>
    <s v="Foxfire Inc"/>
    <x v="1"/>
    <s v="Miami"/>
    <s v="PRD-001"/>
    <x v="5"/>
    <x v="1"/>
    <s v="David Kim"/>
    <x v="1"/>
    <n v="22"/>
    <n v="1199.99"/>
    <n v="26399.78"/>
    <n v="0.16"/>
    <n v="4223.96"/>
    <n v="22175.82"/>
    <n v="1774.07"/>
    <n v="23949.89"/>
    <x v="1"/>
  </r>
  <r>
    <s v="TXN-00089"/>
    <x v="149"/>
    <x v="0"/>
    <s v="C004"/>
    <s v="Delta Enterprises"/>
    <x v="2"/>
    <s v="Los Angeles"/>
    <s v="PRD-011"/>
    <x v="7"/>
    <x v="1"/>
    <s v="Eva Patel"/>
    <x v="1"/>
    <n v="6"/>
    <n v="249.99"/>
    <n v="1499.94"/>
    <n v="0.08"/>
    <n v="120"/>
    <n v="1379.94"/>
    <n v="110.4"/>
    <n v="1490.34"/>
    <x v="2"/>
  </r>
  <r>
    <s v="TXN-00220"/>
    <x v="150"/>
    <x v="0"/>
    <s v="C005"/>
    <s v="Eagle Tech"/>
    <x v="0"/>
    <s v="Chicago"/>
    <s v="PRD-007"/>
    <x v="13"/>
    <x v="1"/>
    <s v="Bob Chen"/>
    <x v="3"/>
    <n v="3"/>
    <n v="129.99"/>
    <n v="389.97"/>
    <n v="0"/>
    <n v="0"/>
    <n v="389.97"/>
    <n v="31.2"/>
    <n v="421.17"/>
    <x v="1"/>
  </r>
  <r>
    <s v="TXN-00082"/>
    <x v="151"/>
    <x v="0"/>
    <s v="C012"/>
    <s v="Luminary Co"/>
    <x v="1"/>
    <s v="Dallas"/>
    <s v="PRD-011"/>
    <x v="7"/>
    <x v="1"/>
    <s v="Bob Chen"/>
    <x v="2"/>
    <n v="3"/>
    <n v="249.99"/>
    <n v="749.97"/>
    <n v="0"/>
    <n v="0"/>
    <n v="749.97"/>
    <n v="60"/>
    <n v="809.97"/>
    <x v="1"/>
  </r>
  <r>
    <s v="TXN-00194"/>
    <x v="152"/>
    <x v="0"/>
    <s v="C004"/>
    <s v="Delta Enterprises"/>
    <x v="2"/>
    <s v="Los Angeles"/>
    <s v="PRD-003"/>
    <x v="14"/>
    <x v="1"/>
    <s v="David Kim"/>
    <x v="2"/>
    <n v="9"/>
    <n v="49.99"/>
    <n v="449.91"/>
    <n v="0"/>
    <n v="0"/>
    <n v="449.91"/>
    <n v="35.99"/>
    <n v="485.9"/>
    <x v="1"/>
  </r>
  <r>
    <s v="TXN-00038"/>
    <x v="153"/>
    <x v="0"/>
    <s v="C006"/>
    <s v="Foxfire Inc"/>
    <x v="1"/>
    <s v="Miami"/>
    <s v="PRD-014"/>
    <x v="10"/>
    <x v="1"/>
    <s v="Alice Morgan"/>
    <x v="0"/>
    <n v="9"/>
    <n v="479.99"/>
    <n v="4319.91"/>
    <n v="0"/>
    <n v="0"/>
    <n v="4319.91"/>
    <n v="345.59"/>
    <n v="4665.5"/>
    <x v="1"/>
  </r>
  <r>
    <s v="TXN-00209"/>
    <x v="154"/>
    <x v="0"/>
    <s v="C005"/>
    <s v="Eagle Tech"/>
    <x v="0"/>
    <s v="Chicago"/>
    <s v="PRD-001"/>
    <x v="5"/>
    <x v="1"/>
    <s v="Eva Patel"/>
    <x v="3"/>
    <n v="12"/>
    <n v="1199.99"/>
    <n v="14399.88"/>
    <n v="0.05"/>
    <n v="719.99"/>
    <n v="13679.89"/>
    <n v="1094.3900000000001"/>
    <n v="14774.28"/>
    <x v="1"/>
  </r>
  <r>
    <s v="TXN-00033"/>
    <x v="155"/>
    <x v="0"/>
    <s v="C010"/>
    <s v="Jade Innovations"/>
    <x v="2"/>
    <s v="San Francisco"/>
    <s v="PRD-014"/>
    <x v="10"/>
    <x v="1"/>
    <s v="David Kim"/>
    <x v="4"/>
    <n v="25"/>
    <n v="479.99"/>
    <n v="11999.75"/>
    <n v="0.08"/>
    <n v="959.98"/>
    <n v="11039.77"/>
    <n v="883.18"/>
    <n v="0"/>
    <x v="0"/>
  </r>
  <r>
    <s v="TXN-00217"/>
    <x v="155"/>
    <x v="0"/>
    <s v="C008"/>
    <s v="Horizon Group"/>
    <x v="2"/>
    <s v="Seattle"/>
    <s v="PRD-014"/>
    <x v="10"/>
    <x v="1"/>
    <s v="Eva Patel"/>
    <x v="1"/>
    <n v="2"/>
    <n v="479.99"/>
    <n v="959.98"/>
    <n v="0.08"/>
    <n v="76.8"/>
    <n v="883.18"/>
    <n v="70.650000000000006"/>
    <n v="953.83"/>
    <x v="1"/>
  </r>
  <r>
    <s v="TXN-00164"/>
    <x v="156"/>
    <x v="0"/>
    <s v="C006"/>
    <s v="Foxfire Inc"/>
    <x v="1"/>
    <s v="Miami"/>
    <s v="PRD-006"/>
    <x v="0"/>
    <x v="0"/>
    <s v="Alice Morgan"/>
    <x v="4"/>
    <n v="14"/>
    <n v="8.99"/>
    <n v="125.86"/>
    <n v="0.05"/>
    <n v="6.29"/>
    <n v="119.57"/>
    <n v="9.57"/>
    <n v="129.13999999999999"/>
    <x v="1"/>
  </r>
  <r>
    <s v="TXN-00048"/>
    <x v="157"/>
    <x v="0"/>
    <s v="C007"/>
    <s v="Global Dynamics"/>
    <x v="3"/>
    <s v="Philadelphia"/>
    <s v="PRD-001"/>
    <x v="5"/>
    <x v="1"/>
    <s v="Carol Davis"/>
    <x v="1"/>
    <n v="14"/>
    <n v="1199.99"/>
    <n v="16799.86"/>
    <n v="0.13"/>
    <n v="2183.98"/>
    <n v="14615.88"/>
    <n v="1169.27"/>
    <n v="15785.15"/>
    <x v="1"/>
  </r>
  <r>
    <s v="TXN-00215"/>
    <x v="157"/>
    <x v="0"/>
    <s v="C007"/>
    <s v="Global Dynamics"/>
    <x v="3"/>
    <s v="Philadelphia"/>
    <s v="PRD-003"/>
    <x v="14"/>
    <x v="1"/>
    <s v="David Kim"/>
    <x v="2"/>
    <n v="24"/>
    <n v="49.99"/>
    <n v="1199.76"/>
    <n v="0.08"/>
    <n v="95.98"/>
    <n v="1103.78"/>
    <n v="88.3"/>
    <n v="1192.08"/>
    <x v="2"/>
  </r>
  <r>
    <s v="TXN-00169"/>
    <x v="158"/>
    <x v="0"/>
    <s v="C005"/>
    <s v="Eagle Tech"/>
    <x v="0"/>
    <s v="Chicago"/>
    <s v="PRD-004"/>
    <x v="8"/>
    <x v="2"/>
    <s v="Eva Patel"/>
    <x v="4"/>
    <n v="15"/>
    <n v="349.99"/>
    <n v="5249.85"/>
    <n v="0.05"/>
    <n v="262.49"/>
    <n v="4987.3599999999997"/>
    <n v="398.99"/>
    <n v="5386.35"/>
    <x v="1"/>
  </r>
  <r>
    <s v="TXN-00012"/>
    <x v="159"/>
    <x v="0"/>
    <s v="C006"/>
    <s v="Foxfire Inc"/>
    <x v="1"/>
    <s v="Miami"/>
    <s v="PRD-003"/>
    <x v="14"/>
    <x v="1"/>
    <s v="Carol Davis"/>
    <x v="4"/>
    <n v="9"/>
    <n v="49.99"/>
    <n v="449.91"/>
    <n v="0"/>
    <n v="0"/>
    <n v="449.91"/>
    <n v="35.99"/>
    <n v="485.9"/>
    <x v="2"/>
  </r>
  <r>
    <s v="TXN-00009"/>
    <x v="160"/>
    <x v="0"/>
    <s v="C014"/>
    <s v="Nexus Trading"/>
    <x v="2"/>
    <s v="Denver"/>
    <s v="PRD-005"/>
    <x v="3"/>
    <x v="2"/>
    <s v="Eva Patel"/>
    <x v="2"/>
    <n v="7"/>
    <n v="599.99"/>
    <n v="4199.93"/>
    <n v="0"/>
    <n v="0"/>
    <n v="4199.93"/>
    <n v="335.99"/>
    <n v="0"/>
    <x v="0"/>
  </r>
  <r>
    <s v="TXN-00226"/>
    <x v="161"/>
    <x v="1"/>
    <s v="C001"/>
    <s v="Apex Solutions"/>
    <x v="0"/>
    <s v="New York"/>
    <s v="PRD-003"/>
    <x v="14"/>
    <x v="1"/>
    <s v="Carol Davis"/>
    <x v="4"/>
    <n v="11"/>
    <n v="49.99"/>
    <n v="549.89"/>
    <n v="0.05"/>
    <n v="27.49"/>
    <n v="522.4"/>
    <n v="41.79"/>
    <n v="0"/>
    <x v="0"/>
  </r>
  <r>
    <s v="TXN-00313"/>
    <x v="161"/>
    <x v="1"/>
    <s v="C011"/>
    <s v="Keystone Ventures"/>
    <x v="3"/>
    <s v="Washington DC"/>
    <s v="PRD-001"/>
    <x v="5"/>
    <x v="1"/>
    <s v="David Kim"/>
    <x v="2"/>
    <n v="24"/>
    <n v="1199.99"/>
    <n v="28799.759999999998"/>
    <n v="0.08"/>
    <n v="2303.98"/>
    <n v="26495.78"/>
    <n v="2119.66"/>
    <n v="28615.439999999999"/>
    <x v="1"/>
  </r>
  <r>
    <s v="TXN-00287"/>
    <x v="162"/>
    <x v="1"/>
    <s v="C009"/>
    <s v="Ironclad Partners"/>
    <x v="0"/>
    <s v="Detroit"/>
    <s v="PRD-015"/>
    <x v="11"/>
    <x v="0"/>
    <s v="Alice Morgan"/>
    <x v="1"/>
    <n v="12"/>
    <n v="79.989999999999995"/>
    <n v="959.88"/>
    <n v="0.13"/>
    <n v="124.78"/>
    <n v="835.1"/>
    <n v="66.81"/>
    <n v="0"/>
    <x v="0"/>
  </r>
  <r>
    <s v="TXN-00262"/>
    <x v="163"/>
    <x v="1"/>
    <s v="C007"/>
    <s v="Global Dynamics"/>
    <x v="3"/>
    <s v="Philadelphia"/>
    <s v="PRD-010"/>
    <x v="1"/>
    <x v="1"/>
    <s v="David Kim"/>
    <x v="2"/>
    <n v="13"/>
    <n v="89.99"/>
    <n v="1169.8699999999999"/>
    <n v="0.05"/>
    <n v="58.49"/>
    <n v="1111.3800000000001"/>
    <n v="88.91"/>
    <n v="1200.29"/>
    <x v="1"/>
  </r>
  <r>
    <s v="TXN-00363"/>
    <x v="164"/>
    <x v="1"/>
    <s v="C009"/>
    <s v="Ironclad Partners"/>
    <x v="0"/>
    <s v="Detroit"/>
    <s v="PRD-008"/>
    <x v="12"/>
    <x v="1"/>
    <s v="David Kim"/>
    <x v="1"/>
    <n v="16"/>
    <n v="399.99"/>
    <n v="6399.84"/>
    <n v="0.13"/>
    <n v="831.98"/>
    <n v="5567.86"/>
    <n v="445.43"/>
    <n v="6013.29"/>
    <x v="1"/>
  </r>
  <r>
    <s v="TXN-00225"/>
    <x v="165"/>
    <x v="1"/>
    <s v="C009"/>
    <s v="Ironclad Partners"/>
    <x v="0"/>
    <s v="Detroit"/>
    <s v="PRD-003"/>
    <x v="14"/>
    <x v="1"/>
    <s v="Carol Davis"/>
    <x v="4"/>
    <n v="22"/>
    <n v="49.99"/>
    <n v="1099.78"/>
    <n v="0.08"/>
    <n v="87.98"/>
    <n v="1011.8"/>
    <n v="80.94"/>
    <n v="1092.74"/>
    <x v="1"/>
  </r>
  <r>
    <s v="TXN-00352"/>
    <x v="166"/>
    <x v="1"/>
    <s v="C012"/>
    <s v="Luminary Co"/>
    <x v="1"/>
    <s v="Dallas"/>
    <s v="PRD-010"/>
    <x v="1"/>
    <x v="1"/>
    <s v="Eva Patel"/>
    <x v="2"/>
    <n v="2"/>
    <n v="89.99"/>
    <n v="179.98"/>
    <n v="0"/>
    <n v="0"/>
    <n v="179.98"/>
    <n v="14.4"/>
    <n v="0"/>
    <x v="0"/>
  </r>
  <r>
    <s v="TXN-00230"/>
    <x v="167"/>
    <x v="1"/>
    <s v="C012"/>
    <s v="Luminary Co"/>
    <x v="1"/>
    <s v="Dallas"/>
    <s v="PRD-001"/>
    <x v="5"/>
    <x v="1"/>
    <s v="Eva Patel"/>
    <x v="2"/>
    <n v="21"/>
    <n v="1199.99"/>
    <n v="25199.79"/>
    <n v="0.08"/>
    <n v="2015.98"/>
    <n v="23183.81"/>
    <n v="1854.7"/>
    <n v="25038.51"/>
    <x v="1"/>
  </r>
  <r>
    <s v="TXN-00331"/>
    <x v="168"/>
    <x v="1"/>
    <s v="C011"/>
    <s v="Keystone Ventures"/>
    <x v="3"/>
    <s v="Washington DC"/>
    <s v="PRD-013"/>
    <x v="4"/>
    <x v="2"/>
    <s v="Carol Davis"/>
    <x v="2"/>
    <n v="19"/>
    <n v="229.99"/>
    <n v="4369.8100000000004"/>
    <n v="0.05"/>
    <n v="218.49"/>
    <n v="4151.32"/>
    <n v="332.11"/>
    <n v="4483.43"/>
    <x v="1"/>
  </r>
  <r>
    <s v="TXN-00303"/>
    <x v="169"/>
    <x v="1"/>
    <s v="C006"/>
    <s v="Foxfire Inc"/>
    <x v="1"/>
    <s v="Miami"/>
    <s v="PRD-001"/>
    <x v="5"/>
    <x v="1"/>
    <s v="Alice Morgan"/>
    <x v="2"/>
    <n v="5"/>
    <n v="1199.99"/>
    <n v="5999.95"/>
    <n v="0"/>
    <n v="0"/>
    <n v="5999.95"/>
    <n v="480"/>
    <n v="6479.95"/>
    <x v="1"/>
  </r>
  <r>
    <s v="TXN-00260"/>
    <x v="170"/>
    <x v="1"/>
    <s v="C009"/>
    <s v="Ironclad Partners"/>
    <x v="0"/>
    <s v="Detroit"/>
    <s v="PRD-004"/>
    <x v="8"/>
    <x v="2"/>
    <s v="Eva Patel"/>
    <x v="2"/>
    <n v="13"/>
    <n v="349.99"/>
    <n v="4549.87"/>
    <n v="0.05"/>
    <n v="227.49"/>
    <n v="4322.38"/>
    <n v="345.79"/>
    <n v="4668.17"/>
    <x v="1"/>
  </r>
  <r>
    <s v="TXN-00318"/>
    <x v="170"/>
    <x v="1"/>
    <s v="C005"/>
    <s v="Eagle Tech"/>
    <x v="0"/>
    <s v="Chicago"/>
    <s v="PRD-001"/>
    <x v="5"/>
    <x v="1"/>
    <s v="Bob Chen"/>
    <x v="3"/>
    <n v="29"/>
    <n v="1199.99"/>
    <n v="34799.71"/>
    <n v="0.08"/>
    <n v="2783.98"/>
    <n v="32015.73"/>
    <n v="2561.2600000000002"/>
    <n v="34576.99"/>
    <x v="1"/>
  </r>
  <r>
    <s v="TXN-00391"/>
    <x v="170"/>
    <x v="1"/>
    <s v="C007"/>
    <s v="Global Dynamics"/>
    <x v="3"/>
    <s v="Philadelphia"/>
    <s v="PRD-009"/>
    <x v="2"/>
    <x v="2"/>
    <s v="David Kim"/>
    <x v="2"/>
    <n v="10"/>
    <n v="39.99"/>
    <n v="399.9"/>
    <n v="0.05"/>
    <n v="20"/>
    <n v="379.9"/>
    <n v="30.39"/>
    <n v="410.29"/>
    <x v="1"/>
  </r>
  <r>
    <s v="TXN-00292"/>
    <x v="171"/>
    <x v="1"/>
    <s v="C003"/>
    <s v="Crestview Ltd"/>
    <x v="3"/>
    <s v="Boston"/>
    <s v="PRD-003"/>
    <x v="14"/>
    <x v="1"/>
    <s v="Eva Patel"/>
    <x v="4"/>
    <n v="15"/>
    <n v="49.99"/>
    <n v="749.85"/>
    <n v="0.05"/>
    <n v="37.49"/>
    <n v="712.36"/>
    <n v="56.99"/>
    <n v="769.35"/>
    <x v="2"/>
  </r>
  <r>
    <s v="TXN-00367"/>
    <x v="172"/>
    <x v="1"/>
    <s v="C003"/>
    <s v="Crestview Ltd"/>
    <x v="3"/>
    <s v="Boston"/>
    <s v="PRD-007"/>
    <x v="13"/>
    <x v="1"/>
    <s v="Carol Davis"/>
    <x v="2"/>
    <n v="12"/>
    <n v="129.99"/>
    <n v="1559.88"/>
    <n v="0.05"/>
    <n v="77.989999999999995"/>
    <n v="1481.89"/>
    <n v="118.55"/>
    <n v="1600.44"/>
    <x v="1"/>
  </r>
  <r>
    <s v="TXN-00372"/>
    <x v="172"/>
    <x v="1"/>
    <s v="C010"/>
    <s v="Jade Innovations"/>
    <x v="2"/>
    <s v="San Francisco"/>
    <s v="PRD-004"/>
    <x v="8"/>
    <x v="2"/>
    <s v="Eva Patel"/>
    <x v="1"/>
    <n v="2"/>
    <n v="349.99"/>
    <n v="699.98"/>
    <n v="0.08"/>
    <n v="56"/>
    <n v="643.98"/>
    <n v="51.52"/>
    <n v="0"/>
    <x v="0"/>
  </r>
  <r>
    <s v="TXN-00320"/>
    <x v="173"/>
    <x v="1"/>
    <s v="C005"/>
    <s v="Eagle Tech"/>
    <x v="0"/>
    <s v="Chicago"/>
    <s v="PRD-008"/>
    <x v="12"/>
    <x v="1"/>
    <s v="Alice Morgan"/>
    <x v="4"/>
    <n v="12"/>
    <n v="399.99"/>
    <n v="4799.88"/>
    <n v="0.05"/>
    <n v="239.99"/>
    <n v="4559.8900000000003"/>
    <n v="364.79"/>
    <n v="4924.68"/>
    <x v="1"/>
  </r>
  <r>
    <s v="TXN-00346"/>
    <x v="174"/>
    <x v="1"/>
    <s v="C010"/>
    <s v="Jade Innovations"/>
    <x v="2"/>
    <s v="San Francisco"/>
    <s v="PRD-011"/>
    <x v="7"/>
    <x v="1"/>
    <s v="Bob Chen"/>
    <x v="4"/>
    <n v="17"/>
    <n v="249.99"/>
    <n v="4249.83"/>
    <n v="0.05"/>
    <n v="212.49"/>
    <n v="4037.34"/>
    <n v="322.99"/>
    <n v="4360.33"/>
    <x v="1"/>
  </r>
  <r>
    <s v="TXN-00384"/>
    <x v="175"/>
    <x v="1"/>
    <s v="C013"/>
    <s v="Maverick Systems"/>
    <x v="0"/>
    <s v="Minneapolis"/>
    <s v="PRD-009"/>
    <x v="2"/>
    <x v="2"/>
    <s v="Eva Patel"/>
    <x v="1"/>
    <n v="24"/>
    <n v="39.99"/>
    <n v="959.76"/>
    <n v="0.16"/>
    <n v="153.56"/>
    <n v="806.2"/>
    <n v="64.5"/>
    <n v="870.7"/>
    <x v="2"/>
  </r>
  <r>
    <s v="TXN-00344"/>
    <x v="176"/>
    <x v="1"/>
    <s v="C010"/>
    <s v="Jade Innovations"/>
    <x v="2"/>
    <s v="San Francisco"/>
    <s v="PRD-014"/>
    <x v="10"/>
    <x v="1"/>
    <s v="Alice Morgan"/>
    <x v="4"/>
    <n v="21"/>
    <n v="479.99"/>
    <n v="10079.790000000001"/>
    <n v="0.08"/>
    <n v="806.38"/>
    <n v="9273.41"/>
    <n v="741.87"/>
    <n v="10015.280000000001"/>
    <x v="1"/>
  </r>
  <r>
    <s v="TXN-00332"/>
    <x v="177"/>
    <x v="1"/>
    <s v="C003"/>
    <s v="Crestview Ltd"/>
    <x v="3"/>
    <s v="Boston"/>
    <s v="PRD-010"/>
    <x v="1"/>
    <x v="1"/>
    <s v="David Kim"/>
    <x v="2"/>
    <n v="15"/>
    <n v="89.99"/>
    <n v="1349.85"/>
    <n v="0.05"/>
    <n v="67.489999999999995"/>
    <n v="1282.3599999999999"/>
    <n v="102.59"/>
    <n v="1384.95"/>
    <x v="1"/>
  </r>
  <r>
    <s v="TXN-00283"/>
    <x v="178"/>
    <x v="1"/>
    <s v="C005"/>
    <s v="Eagle Tech"/>
    <x v="0"/>
    <s v="Chicago"/>
    <s v="PRD-007"/>
    <x v="13"/>
    <x v="1"/>
    <s v="Carol Davis"/>
    <x v="0"/>
    <n v="11"/>
    <n v="129.99"/>
    <n v="1429.89"/>
    <n v="0.05"/>
    <n v="71.489999999999995"/>
    <n v="1358.4"/>
    <n v="108.67"/>
    <n v="1467.07"/>
    <x v="1"/>
  </r>
  <r>
    <s v="TXN-00323"/>
    <x v="179"/>
    <x v="1"/>
    <s v="C012"/>
    <s v="Luminary Co"/>
    <x v="1"/>
    <s v="Dallas"/>
    <s v="PRD-008"/>
    <x v="12"/>
    <x v="1"/>
    <s v="David Kim"/>
    <x v="2"/>
    <n v="9"/>
    <n v="399.99"/>
    <n v="3599.91"/>
    <n v="0"/>
    <n v="0"/>
    <n v="3599.91"/>
    <n v="287.99"/>
    <n v="0"/>
    <x v="0"/>
  </r>
  <r>
    <s v="TXN-00342"/>
    <x v="180"/>
    <x v="1"/>
    <s v="C006"/>
    <s v="Foxfire Inc"/>
    <x v="1"/>
    <s v="Miami"/>
    <s v="PRD-010"/>
    <x v="1"/>
    <x v="1"/>
    <s v="David Kim"/>
    <x v="0"/>
    <n v="20"/>
    <n v="89.99"/>
    <n v="1799.8"/>
    <n v="0.08"/>
    <n v="143.97999999999999"/>
    <n v="1655.82"/>
    <n v="132.47"/>
    <n v="1788.29"/>
    <x v="1"/>
  </r>
  <r>
    <s v="TXN-00237"/>
    <x v="181"/>
    <x v="1"/>
    <s v="C006"/>
    <s v="Foxfire Inc"/>
    <x v="1"/>
    <s v="Miami"/>
    <s v="PRD-007"/>
    <x v="13"/>
    <x v="1"/>
    <s v="David Kim"/>
    <x v="1"/>
    <n v="24"/>
    <n v="129.99"/>
    <n v="3119.76"/>
    <n v="0.16"/>
    <n v="499.16"/>
    <n v="2620.6"/>
    <n v="209.65"/>
    <n v="2830.25"/>
    <x v="1"/>
  </r>
  <r>
    <s v="TXN-00370"/>
    <x v="182"/>
    <x v="1"/>
    <s v="C014"/>
    <s v="Nexus Trading"/>
    <x v="2"/>
    <s v="Denver"/>
    <s v="PRD-005"/>
    <x v="3"/>
    <x v="2"/>
    <s v="Eva Patel"/>
    <x v="0"/>
    <n v="5"/>
    <n v="599.99"/>
    <n v="2999.95"/>
    <n v="0"/>
    <n v="0"/>
    <n v="2999.95"/>
    <n v="240"/>
    <n v="3239.95"/>
    <x v="1"/>
  </r>
  <r>
    <s v="TXN-00289"/>
    <x v="183"/>
    <x v="1"/>
    <s v="C004"/>
    <s v="Delta Enterprises"/>
    <x v="2"/>
    <s v="Los Angeles"/>
    <s v="PRD-004"/>
    <x v="8"/>
    <x v="2"/>
    <s v="Bob Chen"/>
    <x v="4"/>
    <n v="10"/>
    <n v="349.99"/>
    <n v="3499.9"/>
    <n v="0.05"/>
    <n v="175"/>
    <n v="3324.9"/>
    <n v="265.99"/>
    <n v="3590.89"/>
    <x v="1"/>
  </r>
  <r>
    <s v="TXN-00396"/>
    <x v="183"/>
    <x v="1"/>
    <s v="C002"/>
    <s v="Blue Ridge Corp"/>
    <x v="1"/>
    <s v="Atlanta"/>
    <s v="PRD-001"/>
    <x v="5"/>
    <x v="1"/>
    <s v="David Kim"/>
    <x v="2"/>
    <n v="16"/>
    <n v="1199.99"/>
    <n v="19199.84"/>
    <n v="0.05"/>
    <n v="959.99"/>
    <n v="18239.849999999999"/>
    <n v="1459.19"/>
    <n v="19699.04"/>
    <x v="2"/>
  </r>
  <r>
    <s v="TXN-00402"/>
    <x v="184"/>
    <x v="1"/>
    <s v="C001"/>
    <s v="Apex Solutions"/>
    <x v="0"/>
    <s v="New York"/>
    <s v="PRD-015"/>
    <x v="11"/>
    <x v="0"/>
    <s v="Alice Morgan"/>
    <x v="2"/>
    <n v="20"/>
    <n v="79.989999999999995"/>
    <n v="1599.8"/>
    <n v="0.08"/>
    <n v="127.98"/>
    <n v="1471.82"/>
    <n v="117.75"/>
    <n v="0"/>
    <x v="0"/>
  </r>
  <r>
    <s v="TXN-00366"/>
    <x v="185"/>
    <x v="1"/>
    <s v="C008"/>
    <s v="Horizon Group"/>
    <x v="2"/>
    <s v="Seattle"/>
    <s v="PRD-011"/>
    <x v="7"/>
    <x v="1"/>
    <s v="Carol Davis"/>
    <x v="0"/>
    <n v="28"/>
    <n v="249.99"/>
    <n v="6999.72"/>
    <n v="0.08"/>
    <n v="559.98"/>
    <n v="6439.74"/>
    <n v="515.17999999999995"/>
    <n v="6954.92"/>
    <x v="1"/>
  </r>
  <r>
    <s v="TXN-00244"/>
    <x v="186"/>
    <x v="1"/>
    <s v="C014"/>
    <s v="Nexus Trading"/>
    <x v="2"/>
    <s v="Denver"/>
    <s v="PRD-004"/>
    <x v="8"/>
    <x v="2"/>
    <s v="Alice Morgan"/>
    <x v="2"/>
    <n v="12"/>
    <n v="349.99"/>
    <n v="4199.88"/>
    <n v="0.05"/>
    <n v="209.99"/>
    <n v="3989.89"/>
    <n v="319.19"/>
    <n v="0"/>
    <x v="0"/>
  </r>
  <r>
    <s v="TXN-00266"/>
    <x v="186"/>
    <x v="1"/>
    <s v="C013"/>
    <s v="Maverick Systems"/>
    <x v="0"/>
    <s v="Minneapolis"/>
    <s v="PRD-006"/>
    <x v="0"/>
    <x v="0"/>
    <s v="Bob Chen"/>
    <x v="3"/>
    <n v="21"/>
    <n v="8.99"/>
    <n v="188.79"/>
    <n v="0.08"/>
    <n v="15.1"/>
    <n v="173.69"/>
    <n v="13.9"/>
    <n v="0"/>
    <x v="0"/>
  </r>
  <r>
    <s v="TXN-00359"/>
    <x v="187"/>
    <x v="1"/>
    <s v="C009"/>
    <s v="Ironclad Partners"/>
    <x v="0"/>
    <s v="Detroit"/>
    <s v="PRD-009"/>
    <x v="2"/>
    <x v="2"/>
    <s v="Alice Morgan"/>
    <x v="2"/>
    <n v="15"/>
    <n v="39.99"/>
    <n v="599.85"/>
    <n v="0.05"/>
    <n v="29.99"/>
    <n v="569.86"/>
    <n v="45.59"/>
    <n v="615.45000000000005"/>
    <x v="1"/>
  </r>
  <r>
    <s v="TXN-00257"/>
    <x v="188"/>
    <x v="1"/>
    <s v="C001"/>
    <s v="Apex Solutions"/>
    <x v="0"/>
    <s v="New York"/>
    <s v="PRD-010"/>
    <x v="1"/>
    <x v="1"/>
    <s v="Alice Morgan"/>
    <x v="4"/>
    <n v="7"/>
    <n v="89.99"/>
    <n v="629.92999999999995"/>
    <n v="0"/>
    <n v="0"/>
    <n v="629.92999999999995"/>
    <n v="50.39"/>
    <n v="680.32"/>
    <x v="1"/>
  </r>
  <r>
    <s v="TXN-00248"/>
    <x v="189"/>
    <x v="1"/>
    <s v="C005"/>
    <s v="Eagle Tech"/>
    <x v="0"/>
    <s v="Chicago"/>
    <s v="PRD-013"/>
    <x v="4"/>
    <x v="2"/>
    <s v="Carol Davis"/>
    <x v="2"/>
    <n v="6"/>
    <n v="229.99"/>
    <n v="1379.94"/>
    <n v="0"/>
    <n v="0"/>
    <n v="1379.94"/>
    <n v="110.4"/>
    <n v="1490.34"/>
    <x v="1"/>
  </r>
  <r>
    <s v="TXN-00309"/>
    <x v="189"/>
    <x v="1"/>
    <s v="C009"/>
    <s v="Ironclad Partners"/>
    <x v="0"/>
    <s v="Detroit"/>
    <s v="PRD-010"/>
    <x v="1"/>
    <x v="1"/>
    <s v="Alice Morgan"/>
    <x v="0"/>
    <n v="8"/>
    <n v="89.99"/>
    <n v="719.92"/>
    <n v="0"/>
    <n v="0"/>
    <n v="719.92"/>
    <n v="57.59"/>
    <n v="0"/>
    <x v="0"/>
  </r>
  <r>
    <s v="TXN-00371"/>
    <x v="189"/>
    <x v="1"/>
    <s v="C006"/>
    <s v="Foxfire Inc"/>
    <x v="1"/>
    <s v="Miami"/>
    <s v="PRD-007"/>
    <x v="13"/>
    <x v="1"/>
    <s v="Carol Davis"/>
    <x v="0"/>
    <n v="25"/>
    <n v="129.99"/>
    <n v="3249.75"/>
    <n v="0.08"/>
    <n v="259.98"/>
    <n v="2989.77"/>
    <n v="239.18"/>
    <n v="3228.95"/>
    <x v="1"/>
  </r>
  <r>
    <s v="TXN-00224"/>
    <x v="190"/>
    <x v="1"/>
    <s v="C015"/>
    <s v="Orbit Industries"/>
    <x v="1"/>
    <s v="Houston"/>
    <s v="PRD-013"/>
    <x v="4"/>
    <x v="2"/>
    <s v="Eva Patel"/>
    <x v="3"/>
    <n v="28"/>
    <n v="229.99"/>
    <n v="6439.72"/>
    <n v="0.08"/>
    <n v="515.17999999999995"/>
    <n v="5924.54"/>
    <n v="473.96"/>
    <n v="6398.5"/>
    <x v="1"/>
  </r>
  <r>
    <s v="TXN-00223"/>
    <x v="191"/>
    <x v="1"/>
    <s v="C010"/>
    <s v="Jade Innovations"/>
    <x v="2"/>
    <s v="San Francisco"/>
    <s v="PRD-004"/>
    <x v="8"/>
    <x v="2"/>
    <s v="Bob Chen"/>
    <x v="4"/>
    <n v="25"/>
    <n v="349.99"/>
    <n v="8749.75"/>
    <n v="0.08"/>
    <n v="699.98"/>
    <n v="8049.77"/>
    <n v="643.98"/>
    <n v="8693.75"/>
    <x v="1"/>
  </r>
  <r>
    <s v="TXN-00305"/>
    <x v="192"/>
    <x v="1"/>
    <s v="C001"/>
    <s v="Apex Solutions"/>
    <x v="0"/>
    <s v="New York"/>
    <s v="PRD-010"/>
    <x v="1"/>
    <x v="1"/>
    <s v="Alice Morgan"/>
    <x v="3"/>
    <n v="7"/>
    <n v="89.99"/>
    <n v="629.92999999999995"/>
    <n v="0"/>
    <n v="0"/>
    <n v="629.92999999999995"/>
    <n v="50.39"/>
    <n v="680.32"/>
    <x v="1"/>
  </r>
  <r>
    <s v="TXN-00373"/>
    <x v="192"/>
    <x v="1"/>
    <s v="C003"/>
    <s v="Crestview Ltd"/>
    <x v="3"/>
    <s v="Boston"/>
    <s v="PRD-001"/>
    <x v="5"/>
    <x v="1"/>
    <s v="Carol Davis"/>
    <x v="1"/>
    <n v="15"/>
    <n v="1199.99"/>
    <n v="17999.849999999999"/>
    <n v="0.13"/>
    <n v="2339.98"/>
    <n v="15659.87"/>
    <n v="1252.79"/>
    <n v="0"/>
    <x v="0"/>
  </r>
  <r>
    <s v="TXN-00271"/>
    <x v="193"/>
    <x v="1"/>
    <s v="C011"/>
    <s v="Keystone Ventures"/>
    <x v="3"/>
    <s v="Washington DC"/>
    <s v="PRD-011"/>
    <x v="7"/>
    <x v="1"/>
    <s v="Eva Patel"/>
    <x v="2"/>
    <n v="11"/>
    <n v="249.99"/>
    <n v="2749.89"/>
    <n v="0.05"/>
    <n v="137.49"/>
    <n v="2612.4"/>
    <n v="208.99"/>
    <n v="2821.39"/>
    <x v="2"/>
  </r>
  <r>
    <s v="TXN-00277"/>
    <x v="193"/>
    <x v="1"/>
    <s v="C004"/>
    <s v="Delta Enterprises"/>
    <x v="2"/>
    <s v="Los Angeles"/>
    <s v="PRD-011"/>
    <x v="7"/>
    <x v="1"/>
    <s v="Carol Davis"/>
    <x v="0"/>
    <n v="17"/>
    <n v="249.99"/>
    <n v="4249.83"/>
    <n v="0.05"/>
    <n v="212.49"/>
    <n v="4037.34"/>
    <n v="322.99"/>
    <n v="4360.33"/>
    <x v="1"/>
  </r>
  <r>
    <s v="TXN-00291"/>
    <x v="194"/>
    <x v="1"/>
    <s v="C013"/>
    <s v="Maverick Systems"/>
    <x v="0"/>
    <s v="Minneapolis"/>
    <s v="PRD-015"/>
    <x v="11"/>
    <x v="0"/>
    <s v="Eva Patel"/>
    <x v="4"/>
    <n v="13"/>
    <n v="79.989999999999995"/>
    <n v="1039.8699999999999"/>
    <n v="0.05"/>
    <n v="51.99"/>
    <n v="987.88"/>
    <n v="79.03"/>
    <n v="0"/>
    <x v="0"/>
  </r>
  <r>
    <s v="TXN-00397"/>
    <x v="195"/>
    <x v="1"/>
    <s v="C013"/>
    <s v="Maverick Systems"/>
    <x v="0"/>
    <s v="Minneapolis"/>
    <s v="PRD-011"/>
    <x v="7"/>
    <x v="1"/>
    <s v="Bob Chen"/>
    <x v="3"/>
    <n v="30"/>
    <n v="249.99"/>
    <n v="7499.7"/>
    <n v="0.08"/>
    <n v="599.98"/>
    <n v="6899.72"/>
    <n v="551.98"/>
    <n v="0"/>
    <x v="0"/>
  </r>
  <r>
    <s v="TXN-00361"/>
    <x v="196"/>
    <x v="1"/>
    <s v="C014"/>
    <s v="Nexus Trading"/>
    <x v="2"/>
    <s v="Denver"/>
    <s v="PRD-007"/>
    <x v="13"/>
    <x v="1"/>
    <s v="Eva Patel"/>
    <x v="1"/>
    <n v="28"/>
    <n v="129.99"/>
    <n v="3639.72"/>
    <n v="0.16"/>
    <n v="582.36"/>
    <n v="3057.36"/>
    <n v="244.59"/>
    <n v="3301.95"/>
    <x v="1"/>
  </r>
  <r>
    <s v="TXN-00362"/>
    <x v="196"/>
    <x v="1"/>
    <s v="C006"/>
    <s v="Foxfire Inc"/>
    <x v="1"/>
    <s v="Miami"/>
    <s v="PRD-014"/>
    <x v="10"/>
    <x v="1"/>
    <s v="Eva Patel"/>
    <x v="2"/>
    <n v="25"/>
    <n v="479.99"/>
    <n v="11999.75"/>
    <n v="0.08"/>
    <n v="959.98"/>
    <n v="11039.77"/>
    <n v="883.18"/>
    <n v="11922.95"/>
    <x v="1"/>
  </r>
  <r>
    <s v="TXN-00347"/>
    <x v="197"/>
    <x v="1"/>
    <s v="C002"/>
    <s v="Blue Ridge Corp"/>
    <x v="1"/>
    <s v="Atlanta"/>
    <s v="PRD-014"/>
    <x v="10"/>
    <x v="1"/>
    <s v="Eva Patel"/>
    <x v="4"/>
    <n v="6"/>
    <n v="479.99"/>
    <n v="2879.94"/>
    <n v="0"/>
    <n v="0"/>
    <n v="2879.94"/>
    <n v="230.4"/>
    <n v="3110.34"/>
    <x v="1"/>
  </r>
  <r>
    <s v="TXN-00326"/>
    <x v="198"/>
    <x v="1"/>
    <s v="C005"/>
    <s v="Eagle Tech"/>
    <x v="0"/>
    <s v="Chicago"/>
    <s v="PRD-005"/>
    <x v="3"/>
    <x v="2"/>
    <s v="David Kim"/>
    <x v="0"/>
    <n v="14"/>
    <n v="599.99"/>
    <n v="8399.86"/>
    <n v="0.05"/>
    <n v="419.99"/>
    <n v="7979.87"/>
    <n v="638.39"/>
    <n v="8618.26"/>
    <x v="2"/>
  </r>
  <r>
    <s v="TXN-00400"/>
    <x v="199"/>
    <x v="1"/>
    <s v="C012"/>
    <s v="Luminary Co"/>
    <x v="1"/>
    <s v="Dallas"/>
    <s v="PRD-009"/>
    <x v="2"/>
    <x v="2"/>
    <s v="Alice Morgan"/>
    <x v="4"/>
    <n v="29"/>
    <n v="39.99"/>
    <n v="1159.71"/>
    <n v="0.08"/>
    <n v="92.78"/>
    <n v="1066.93"/>
    <n v="85.35"/>
    <n v="1152.28"/>
    <x v="1"/>
  </r>
  <r>
    <s v="TXN-00324"/>
    <x v="200"/>
    <x v="1"/>
    <s v="C007"/>
    <s v="Global Dynamics"/>
    <x v="3"/>
    <s v="Philadelphia"/>
    <s v="PRD-012"/>
    <x v="6"/>
    <x v="0"/>
    <s v="Alice Morgan"/>
    <x v="1"/>
    <n v="27"/>
    <n v="5.99"/>
    <n v="161.72999999999999"/>
    <n v="0.16"/>
    <n v="25.88"/>
    <n v="135.85"/>
    <n v="10.87"/>
    <n v="0"/>
    <x v="0"/>
  </r>
  <r>
    <s v="TXN-00322"/>
    <x v="201"/>
    <x v="1"/>
    <s v="C015"/>
    <s v="Orbit Industries"/>
    <x v="1"/>
    <s v="Houston"/>
    <s v="PRD-007"/>
    <x v="13"/>
    <x v="1"/>
    <s v="David Kim"/>
    <x v="1"/>
    <n v="11"/>
    <n v="129.99"/>
    <n v="1429.89"/>
    <n v="0.13"/>
    <n v="185.89"/>
    <n v="1244"/>
    <n v="99.52"/>
    <n v="1343.52"/>
    <x v="1"/>
  </r>
  <r>
    <s v="TXN-00387"/>
    <x v="202"/>
    <x v="1"/>
    <s v="C009"/>
    <s v="Ironclad Partners"/>
    <x v="0"/>
    <s v="Detroit"/>
    <s v="PRD-006"/>
    <x v="0"/>
    <x v="0"/>
    <s v="Carol Davis"/>
    <x v="2"/>
    <n v="16"/>
    <n v="8.99"/>
    <n v="143.84"/>
    <n v="0.05"/>
    <n v="7.19"/>
    <n v="136.65"/>
    <n v="10.93"/>
    <n v="0"/>
    <x v="0"/>
  </r>
  <r>
    <s v="TXN-00404"/>
    <x v="202"/>
    <x v="1"/>
    <s v="C015"/>
    <s v="Orbit Industries"/>
    <x v="1"/>
    <s v="Houston"/>
    <s v="PRD-008"/>
    <x v="12"/>
    <x v="1"/>
    <s v="Bob Chen"/>
    <x v="0"/>
    <n v="9"/>
    <n v="399.99"/>
    <n v="3599.91"/>
    <n v="0"/>
    <n v="0"/>
    <n v="3599.91"/>
    <n v="287.99"/>
    <n v="3887.9"/>
    <x v="1"/>
  </r>
  <r>
    <s v="TXN-00294"/>
    <x v="203"/>
    <x v="1"/>
    <s v="C009"/>
    <s v="Ironclad Partners"/>
    <x v="0"/>
    <s v="Detroit"/>
    <s v="PRD-004"/>
    <x v="8"/>
    <x v="2"/>
    <s v="Bob Chen"/>
    <x v="2"/>
    <n v="29"/>
    <n v="349.99"/>
    <n v="10149.709999999999"/>
    <n v="0.08"/>
    <n v="811.98"/>
    <n v="9337.73"/>
    <n v="747.02"/>
    <n v="10084.75"/>
    <x v="1"/>
  </r>
  <r>
    <s v="TXN-00268"/>
    <x v="204"/>
    <x v="1"/>
    <s v="C003"/>
    <s v="Crestview Ltd"/>
    <x v="3"/>
    <s v="Boston"/>
    <s v="PRD-014"/>
    <x v="10"/>
    <x v="1"/>
    <s v="Bob Chen"/>
    <x v="3"/>
    <n v="9"/>
    <n v="479.99"/>
    <n v="4319.91"/>
    <n v="0"/>
    <n v="0"/>
    <n v="4319.91"/>
    <n v="345.59"/>
    <n v="4665.5"/>
    <x v="1"/>
  </r>
  <r>
    <s v="TXN-00296"/>
    <x v="205"/>
    <x v="1"/>
    <s v="C007"/>
    <s v="Global Dynamics"/>
    <x v="3"/>
    <s v="Philadelphia"/>
    <s v="PRD-013"/>
    <x v="4"/>
    <x v="2"/>
    <s v="Eva Patel"/>
    <x v="0"/>
    <n v="6"/>
    <n v="229.99"/>
    <n v="1379.94"/>
    <n v="0"/>
    <n v="0"/>
    <n v="1379.94"/>
    <n v="110.4"/>
    <n v="1490.34"/>
    <x v="1"/>
  </r>
  <r>
    <s v="TXN-00340"/>
    <x v="205"/>
    <x v="1"/>
    <s v="C003"/>
    <s v="Crestview Ltd"/>
    <x v="3"/>
    <s v="Boston"/>
    <s v="PRD-011"/>
    <x v="7"/>
    <x v="1"/>
    <s v="Carol Davis"/>
    <x v="0"/>
    <n v="4"/>
    <n v="249.99"/>
    <n v="999.96"/>
    <n v="0"/>
    <n v="0"/>
    <n v="999.96"/>
    <n v="80"/>
    <n v="1079.96"/>
    <x v="1"/>
  </r>
  <r>
    <s v="TXN-00265"/>
    <x v="206"/>
    <x v="1"/>
    <s v="C002"/>
    <s v="Blue Ridge Corp"/>
    <x v="1"/>
    <s v="Atlanta"/>
    <s v="PRD-009"/>
    <x v="2"/>
    <x v="2"/>
    <s v="David Kim"/>
    <x v="2"/>
    <n v="11"/>
    <n v="39.99"/>
    <n v="439.89"/>
    <n v="0.05"/>
    <n v="21.99"/>
    <n v="417.9"/>
    <n v="33.43"/>
    <n v="451.33"/>
    <x v="2"/>
  </r>
  <r>
    <s v="TXN-00300"/>
    <x v="206"/>
    <x v="1"/>
    <s v="C009"/>
    <s v="Ironclad Partners"/>
    <x v="0"/>
    <s v="Detroit"/>
    <s v="PRD-015"/>
    <x v="11"/>
    <x v="0"/>
    <s v="Bob Chen"/>
    <x v="1"/>
    <n v="30"/>
    <n v="79.989999999999995"/>
    <n v="2399.6999999999998"/>
    <n v="0.16"/>
    <n v="383.95"/>
    <n v="2015.75"/>
    <n v="161.26"/>
    <n v="2177.0100000000002"/>
    <x v="1"/>
  </r>
  <r>
    <s v="TXN-00302"/>
    <x v="207"/>
    <x v="1"/>
    <s v="C006"/>
    <s v="Foxfire Inc"/>
    <x v="1"/>
    <s v="Miami"/>
    <s v="PRD-009"/>
    <x v="2"/>
    <x v="2"/>
    <s v="Bob Chen"/>
    <x v="1"/>
    <n v="12"/>
    <n v="39.99"/>
    <n v="479.88"/>
    <n v="0.13"/>
    <n v="62.38"/>
    <n v="417.5"/>
    <n v="33.4"/>
    <n v="450.9"/>
    <x v="1"/>
  </r>
  <r>
    <s v="TXN-00236"/>
    <x v="208"/>
    <x v="1"/>
    <s v="C014"/>
    <s v="Nexus Trading"/>
    <x v="2"/>
    <s v="Denver"/>
    <s v="PRD-002"/>
    <x v="9"/>
    <x v="1"/>
    <s v="Eva Patel"/>
    <x v="4"/>
    <n v="15"/>
    <n v="29.99"/>
    <n v="449.85"/>
    <n v="0.05"/>
    <n v="22.49"/>
    <n v="427.36"/>
    <n v="34.19"/>
    <n v="461.55"/>
    <x v="1"/>
  </r>
  <r>
    <s v="TXN-00399"/>
    <x v="209"/>
    <x v="1"/>
    <s v="C005"/>
    <s v="Eagle Tech"/>
    <x v="0"/>
    <s v="Chicago"/>
    <s v="PRD-006"/>
    <x v="0"/>
    <x v="0"/>
    <s v="Alice Morgan"/>
    <x v="3"/>
    <n v="19"/>
    <n v="8.99"/>
    <n v="170.81"/>
    <n v="0.05"/>
    <n v="8.5399999999999991"/>
    <n v="162.27000000000001"/>
    <n v="12.98"/>
    <n v="175.25"/>
    <x v="2"/>
  </r>
  <r>
    <s v="TXN-00395"/>
    <x v="210"/>
    <x v="1"/>
    <s v="C004"/>
    <s v="Delta Enterprises"/>
    <x v="2"/>
    <s v="Los Angeles"/>
    <s v="PRD-004"/>
    <x v="8"/>
    <x v="2"/>
    <s v="Alice Morgan"/>
    <x v="0"/>
    <n v="21"/>
    <n v="349.99"/>
    <n v="7349.79"/>
    <n v="0.08"/>
    <n v="587.98"/>
    <n v="6761.81"/>
    <n v="540.94000000000005"/>
    <n v="7302.75"/>
    <x v="1"/>
  </r>
  <r>
    <s v="TXN-00330"/>
    <x v="211"/>
    <x v="1"/>
    <s v="C013"/>
    <s v="Maverick Systems"/>
    <x v="0"/>
    <s v="Minneapolis"/>
    <s v="PRD-011"/>
    <x v="7"/>
    <x v="1"/>
    <s v="David Kim"/>
    <x v="3"/>
    <n v="3"/>
    <n v="249.99"/>
    <n v="749.97"/>
    <n v="0"/>
    <n v="0"/>
    <n v="749.97"/>
    <n v="60"/>
    <n v="809.97"/>
    <x v="1"/>
  </r>
  <r>
    <s v="TXN-00409"/>
    <x v="212"/>
    <x v="1"/>
    <s v="C002"/>
    <s v="Blue Ridge Corp"/>
    <x v="1"/>
    <s v="Atlanta"/>
    <s v="PRD-011"/>
    <x v="7"/>
    <x v="1"/>
    <s v="Bob Chen"/>
    <x v="4"/>
    <n v="11"/>
    <n v="249.99"/>
    <n v="2749.89"/>
    <n v="0.05"/>
    <n v="137.49"/>
    <n v="2612.4"/>
    <n v="208.99"/>
    <n v="2821.39"/>
    <x v="1"/>
  </r>
  <r>
    <s v="TXN-00392"/>
    <x v="213"/>
    <x v="1"/>
    <s v="C012"/>
    <s v="Luminary Co"/>
    <x v="1"/>
    <s v="Dallas"/>
    <s v="PRD-005"/>
    <x v="3"/>
    <x v="2"/>
    <s v="Alice Morgan"/>
    <x v="2"/>
    <n v="21"/>
    <n v="599.99"/>
    <n v="12599.79"/>
    <n v="0.08"/>
    <n v="1007.98"/>
    <n v="11591.81"/>
    <n v="927.34"/>
    <n v="12519.15"/>
    <x v="1"/>
  </r>
  <r>
    <s v="TXN-00335"/>
    <x v="214"/>
    <x v="1"/>
    <s v="C007"/>
    <s v="Global Dynamics"/>
    <x v="3"/>
    <s v="Philadelphia"/>
    <s v="PRD-009"/>
    <x v="2"/>
    <x v="2"/>
    <s v="Eva Patel"/>
    <x v="3"/>
    <n v="25"/>
    <n v="39.99"/>
    <n v="999.75"/>
    <n v="0.08"/>
    <n v="79.98"/>
    <n v="919.77"/>
    <n v="73.58"/>
    <n v="993.35"/>
    <x v="1"/>
  </r>
  <r>
    <s v="TXN-00410"/>
    <x v="215"/>
    <x v="1"/>
    <s v="C005"/>
    <s v="Eagle Tech"/>
    <x v="0"/>
    <s v="Chicago"/>
    <s v="PRD-001"/>
    <x v="5"/>
    <x v="1"/>
    <s v="David Kim"/>
    <x v="4"/>
    <n v="25"/>
    <n v="1199.99"/>
    <n v="29999.75"/>
    <n v="0.08"/>
    <n v="2399.98"/>
    <n v="27599.77"/>
    <n v="2207.98"/>
    <n v="29807.75"/>
    <x v="1"/>
  </r>
  <r>
    <s v="TXN-00272"/>
    <x v="216"/>
    <x v="1"/>
    <s v="C002"/>
    <s v="Blue Ridge Corp"/>
    <x v="1"/>
    <s v="Atlanta"/>
    <s v="PRD-008"/>
    <x v="12"/>
    <x v="1"/>
    <s v="David Kim"/>
    <x v="1"/>
    <n v="10"/>
    <n v="399.99"/>
    <n v="3999.9"/>
    <n v="0.13"/>
    <n v="519.99"/>
    <n v="3479.91"/>
    <n v="278.39"/>
    <n v="3758.3"/>
    <x v="2"/>
  </r>
  <r>
    <s v="TXN-00349"/>
    <x v="216"/>
    <x v="1"/>
    <s v="C002"/>
    <s v="Blue Ridge Corp"/>
    <x v="1"/>
    <s v="Atlanta"/>
    <s v="PRD-014"/>
    <x v="10"/>
    <x v="1"/>
    <s v="Carol Davis"/>
    <x v="4"/>
    <n v="18"/>
    <n v="479.99"/>
    <n v="8639.82"/>
    <n v="0.05"/>
    <n v="431.99"/>
    <n v="8207.83"/>
    <n v="656.63"/>
    <n v="8864.4599999999991"/>
    <x v="2"/>
  </r>
  <r>
    <s v="TXN-00280"/>
    <x v="217"/>
    <x v="1"/>
    <s v="C009"/>
    <s v="Ironclad Partners"/>
    <x v="0"/>
    <s v="Detroit"/>
    <s v="PRD-009"/>
    <x v="2"/>
    <x v="2"/>
    <s v="Eva Patel"/>
    <x v="4"/>
    <n v="12"/>
    <n v="39.99"/>
    <n v="479.88"/>
    <n v="0.05"/>
    <n v="23.99"/>
    <n v="455.89"/>
    <n v="36.47"/>
    <n v="492.36"/>
    <x v="1"/>
  </r>
  <r>
    <s v="TXN-00295"/>
    <x v="217"/>
    <x v="1"/>
    <s v="C011"/>
    <s v="Keystone Ventures"/>
    <x v="3"/>
    <s v="Washington DC"/>
    <s v="PRD-006"/>
    <x v="0"/>
    <x v="0"/>
    <s v="Eva Patel"/>
    <x v="1"/>
    <n v="25"/>
    <n v="8.99"/>
    <n v="224.75"/>
    <n v="0.16"/>
    <n v="35.96"/>
    <n v="188.79"/>
    <n v="15.1"/>
    <n v="203.89"/>
    <x v="1"/>
  </r>
  <r>
    <s v="TXN-00348"/>
    <x v="218"/>
    <x v="1"/>
    <s v="C015"/>
    <s v="Orbit Industries"/>
    <x v="1"/>
    <s v="Houston"/>
    <s v="PRD-006"/>
    <x v="0"/>
    <x v="0"/>
    <s v="Bob Chen"/>
    <x v="2"/>
    <n v="29"/>
    <n v="8.99"/>
    <n v="260.70999999999998"/>
    <n v="0.08"/>
    <n v="20.86"/>
    <n v="239.85"/>
    <n v="19.190000000000001"/>
    <n v="0"/>
    <x v="0"/>
  </r>
  <r>
    <s v="TXN-00306"/>
    <x v="219"/>
    <x v="1"/>
    <s v="C012"/>
    <s v="Luminary Co"/>
    <x v="1"/>
    <s v="Dallas"/>
    <s v="PRD-009"/>
    <x v="2"/>
    <x v="2"/>
    <s v="Eva Patel"/>
    <x v="0"/>
    <n v="4"/>
    <n v="39.99"/>
    <n v="159.96"/>
    <n v="0"/>
    <n v="0"/>
    <n v="159.96"/>
    <n v="12.8"/>
    <n v="172.76"/>
    <x v="1"/>
  </r>
  <r>
    <s v="TXN-00388"/>
    <x v="219"/>
    <x v="1"/>
    <s v="C005"/>
    <s v="Eagle Tech"/>
    <x v="0"/>
    <s v="Chicago"/>
    <s v="PRD-004"/>
    <x v="8"/>
    <x v="2"/>
    <s v="Eva Patel"/>
    <x v="2"/>
    <n v="10"/>
    <n v="349.99"/>
    <n v="3499.9"/>
    <n v="0.05"/>
    <n v="175"/>
    <n v="3324.9"/>
    <n v="265.99"/>
    <n v="3590.89"/>
    <x v="1"/>
  </r>
  <r>
    <s v="TXN-00398"/>
    <x v="219"/>
    <x v="1"/>
    <s v="C011"/>
    <s v="Keystone Ventures"/>
    <x v="3"/>
    <s v="Washington DC"/>
    <s v="PRD-007"/>
    <x v="13"/>
    <x v="1"/>
    <s v="David Kim"/>
    <x v="1"/>
    <n v="7"/>
    <n v="129.99"/>
    <n v="909.93"/>
    <n v="0.08"/>
    <n v="72.790000000000006"/>
    <n v="837.14"/>
    <n v="66.97"/>
    <n v="904.11"/>
    <x v="2"/>
  </r>
  <r>
    <s v="TXN-00354"/>
    <x v="220"/>
    <x v="1"/>
    <s v="C010"/>
    <s v="Jade Innovations"/>
    <x v="2"/>
    <s v="San Francisco"/>
    <s v="PRD-007"/>
    <x v="13"/>
    <x v="1"/>
    <s v="Alice Morgan"/>
    <x v="1"/>
    <n v="18"/>
    <n v="129.99"/>
    <n v="2339.8200000000002"/>
    <n v="0.13"/>
    <n v="304.18"/>
    <n v="2035.64"/>
    <n v="162.85"/>
    <n v="2198.4899999999998"/>
    <x v="2"/>
  </r>
  <r>
    <s v="TXN-00360"/>
    <x v="220"/>
    <x v="1"/>
    <s v="C008"/>
    <s v="Horizon Group"/>
    <x v="2"/>
    <s v="Seattle"/>
    <s v="PRD-005"/>
    <x v="3"/>
    <x v="2"/>
    <s v="Bob Chen"/>
    <x v="4"/>
    <n v="2"/>
    <n v="599.99"/>
    <n v="1199.98"/>
    <n v="0"/>
    <n v="0"/>
    <n v="1199.98"/>
    <n v="96"/>
    <n v="1295.98"/>
    <x v="1"/>
  </r>
  <r>
    <s v="TXN-00401"/>
    <x v="220"/>
    <x v="1"/>
    <s v="C015"/>
    <s v="Orbit Industries"/>
    <x v="1"/>
    <s v="Houston"/>
    <s v="PRD-015"/>
    <x v="11"/>
    <x v="0"/>
    <s v="Alice Morgan"/>
    <x v="1"/>
    <n v="6"/>
    <n v="79.989999999999995"/>
    <n v="479.94"/>
    <n v="0.08"/>
    <n v="38.4"/>
    <n v="441.54"/>
    <n v="35.32"/>
    <n v="476.86"/>
    <x v="1"/>
  </r>
  <r>
    <s v="TXN-00234"/>
    <x v="221"/>
    <x v="1"/>
    <s v="C012"/>
    <s v="Luminary Co"/>
    <x v="1"/>
    <s v="Dallas"/>
    <s v="PRD-009"/>
    <x v="2"/>
    <x v="2"/>
    <s v="Carol Davis"/>
    <x v="1"/>
    <n v="17"/>
    <n v="39.99"/>
    <n v="679.83"/>
    <n v="0.13"/>
    <n v="88.38"/>
    <n v="591.45000000000005"/>
    <n v="47.32"/>
    <n v="0"/>
    <x v="0"/>
  </r>
  <r>
    <s v="TXN-00406"/>
    <x v="222"/>
    <x v="1"/>
    <s v="C012"/>
    <s v="Luminary Co"/>
    <x v="1"/>
    <s v="Dallas"/>
    <s v="PRD-005"/>
    <x v="3"/>
    <x v="2"/>
    <s v="Bob Chen"/>
    <x v="3"/>
    <n v="11"/>
    <n v="599.99"/>
    <n v="6599.89"/>
    <n v="0.05"/>
    <n v="329.99"/>
    <n v="6269.9"/>
    <n v="501.59"/>
    <n v="6771.49"/>
    <x v="2"/>
  </r>
  <r>
    <s v="TXN-00355"/>
    <x v="223"/>
    <x v="1"/>
    <s v="C005"/>
    <s v="Eagle Tech"/>
    <x v="0"/>
    <s v="Chicago"/>
    <s v="PRD-011"/>
    <x v="7"/>
    <x v="1"/>
    <s v="David Kim"/>
    <x v="4"/>
    <n v="13"/>
    <n v="249.99"/>
    <n v="3249.87"/>
    <n v="0.05"/>
    <n v="162.49"/>
    <n v="3087.38"/>
    <n v="246.99"/>
    <n v="3334.37"/>
    <x v="2"/>
  </r>
  <r>
    <s v="TXN-00375"/>
    <x v="224"/>
    <x v="1"/>
    <s v="C003"/>
    <s v="Crestview Ltd"/>
    <x v="3"/>
    <s v="Boston"/>
    <s v="PRD-006"/>
    <x v="0"/>
    <x v="0"/>
    <s v="David Kim"/>
    <x v="0"/>
    <n v="27"/>
    <n v="8.99"/>
    <n v="242.73"/>
    <n v="0.08"/>
    <n v="19.420000000000002"/>
    <n v="223.31"/>
    <n v="17.86"/>
    <n v="241.17"/>
    <x v="2"/>
  </r>
  <r>
    <s v="TXN-00285"/>
    <x v="225"/>
    <x v="1"/>
    <s v="C007"/>
    <s v="Global Dynamics"/>
    <x v="3"/>
    <s v="Philadelphia"/>
    <s v="PRD-011"/>
    <x v="7"/>
    <x v="1"/>
    <s v="Bob Chen"/>
    <x v="0"/>
    <n v="3"/>
    <n v="249.99"/>
    <n v="749.97"/>
    <n v="0"/>
    <n v="0"/>
    <n v="749.97"/>
    <n v="60"/>
    <n v="809.97"/>
    <x v="2"/>
  </r>
  <r>
    <s v="TXN-00413"/>
    <x v="226"/>
    <x v="1"/>
    <s v="C003"/>
    <s v="Crestview Ltd"/>
    <x v="3"/>
    <s v="Boston"/>
    <s v="PRD-005"/>
    <x v="3"/>
    <x v="2"/>
    <s v="David Kim"/>
    <x v="0"/>
    <n v="25"/>
    <n v="599.99"/>
    <n v="14999.75"/>
    <n v="0.08"/>
    <n v="1199.98"/>
    <n v="13799.77"/>
    <n v="1103.98"/>
    <n v="14903.75"/>
    <x v="2"/>
  </r>
  <r>
    <s v="TXN-00357"/>
    <x v="227"/>
    <x v="1"/>
    <s v="C004"/>
    <s v="Delta Enterprises"/>
    <x v="2"/>
    <s v="Los Angeles"/>
    <s v="PRD-008"/>
    <x v="12"/>
    <x v="1"/>
    <s v="Carol Davis"/>
    <x v="0"/>
    <n v="11"/>
    <n v="399.99"/>
    <n v="4399.8900000000003"/>
    <n v="0.05"/>
    <n v="219.99"/>
    <n v="4179.8999999999996"/>
    <n v="334.39"/>
    <n v="4514.29"/>
    <x v="1"/>
  </r>
  <r>
    <s v="TXN-00221"/>
    <x v="228"/>
    <x v="1"/>
    <s v="C011"/>
    <s v="Keystone Ventures"/>
    <x v="3"/>
    <s v="Washington DC"/>
    <s v="PRD-011"/>
    <x v="7"/>
    <x v="1"/>
    <s v="Eva Patel"/>
    <x v="3"/>
    <n v="26"/>
    <n v="249.99"/>
    <n v="6499.74"/>
    <n v="0.08"/>
    <n v="519.98"/>
    <n v="5979.76"/>
    <n v="478.38"/>
    <n v="6458.14"/>
    <x v="1"/>
  </r>
  <r>
    <s v="TXN-00290"/>
    <x v="229"/>
    <x v="1"/>
    <s v="C013"/>
    <s v="Maverick Systems"/>
    <x v="0"/>
    <s v="Minneapolis"/>
    <s v="PRD-009"/>
    <x v="2"/>
    <x v="2"/>
    <s v="Eva Patel"/>
    <x v="0"/>
    <n v="22"/>
    <n v="39.99"/>
    <n v="879.78"/>
    <n v="0.08"/>
    <n v="70.38"/>
    <n v="809.4"/>
    <n v="64.75"/>
    <n v="874.15"/>
    <x v="1"/>
  </r>
  <r>
    <s v="TXN-00242"/>
    <x v="230"/>
    <x v="1"/>
    <s v="C007"/>
    <s v="Global Dynamics"/>
    <x v="3"/>
    <s v="Philadelphia"/>
    <s v="PRD-013"/>
    <x v="4"/>
    <x v="2"/>
    <s v="Alice Morgan"/>
    <x v="2"/>
    <n v="10"/>
    <n v="229.99"/>
    <n v="2299.9"/>
    <n v="0.05"/>
    <n v="115"/>
    <n v="2184.9"/>
    <n v="174.79"/>
    <n v="0"/>
    <x v="0"/>
  </r>
  <r>
    <s v="TXN-00315"/>
    <x v="230"/>
    <x v="1"/>
    <s v="C002"/>
    <s v="Blue Ridge Corp"/>
    <x v="1"/>
    <s v="Atlanta"/>
    <s v="PRD-011"/>
    <x v="7"/>
    <x v="1"/>
    <s v="Eva Patel"/>
    <x v="2"/>
    <n v="2"/>
    <n v="249.99"/>
    <n v="499.98"/>
    <n v="0"/>
    <n v="0"/>
    <n v="499.98"/>
    <n v="40"/>
    <n v="539.98"/>
    <x v="1"/>
  </r>
  <r>
    <s v="TXN-00327"/>
    <x v="230"/>
    <x v="1"/>
    <s v="C008"/>
    <s v="Horizon Group"/>
    <x v="2"/>
    <s v="Seattle"/>
    <s v="PRD-012"/>
    <x v="6"/>
    <x v="0"/>
    <s v="Carol Davis"/>
    <x v="1"/>
    <n v="24"/>
    <n v="5.99"/>
    <n v="143.76"/>
    <n v="0.16"/>
    <n v="23"/>
    <n v="120.76"/>
    <n v="9.66"/>
    <n v="130.41999999999999"/>
    <x v="1"/>
  </r>
  <r>
    <s v="TXN-00228"/>
    <x v="231"/>
    <x v="1"/>
    <s v="C012"/>
    <s v="Luminary Co"/>
    <x v="1"/>
    <s v="Dallas"/>
    <s v="PRD-002"/>
    <x v="9"/>
    <x v="1"/>
    <s v="Alice Morgan"/>
    <x v="1"/>
    <n v="25"/>
    <n v="29.99"/>
    <n v="749.75"/>
    <n v="0.16"/>
    <n v="119.96"/>
    <n v="629.79"/>
    <n v="50.38"/>
    <n v="680.17"/>
    <x v="1"/>
  </r>
  <r>
    <s v="TXN-00263"/>
    <x v="231"/>
    <x v="1"/>
    <s v="C003"/>
    <s v="Crestview Ltd"/>
    <x v="3"/>
    <s v="Boston"/>
    <s v="PRD-006"/>
    <x v="0"/>
    <x v="0"/>
    <s v="Eva Patel"/>
    <x v="1"/>
    <n v="30"/>
    <n v="8.99"/>
    <n v="269.7"/>
    <n v="0.16"/>
    <n v="43.15"/>
    <n v="226.55"/>
    <n v="18.12"/>
    <n v="244.67"/>
    <x v="2"/>
  </r>
  <r>
    <s v="TXN-00321"/>
    <x v="232"/>
    <x v="1"/>
    <s v="C011"/>
    <s v="Keystone Ventures"/>
    <x v="3"/>
    <s v="Washington DC"/>
    <s v="PRD-014"/>
    <x v="10"/>
    <x v="1"/>
    <s v="Carol Davis"/>
    <x v="2"/>
    <n v="26"/>
    <n v="479.99"/>
    <n v="12479.74"/>
    <n v="0.08"/>
    <n v="998.38"/>
    <n v="11481.36"/>
    <n v="918.51"/>
    <n v="12399.87"/>
    <x v="1"/>
  </r>
  <r>
    <s v="TXN-00358"/>
    <x v="233"/>
    <x v="1"/>
    <s v="C014"/>
    <s v="Nexus Trading"/>
    <x v="2"/>
    <s v="Denver"/>
    <s v="PRD-012"/>
    <x v="6"/>
    <x v="0"/>
    <s v="Carol Davis"/>
    <x v="1"/>
    <n v="25"/>
    <n v="5.99"/>
    <n v="149.75"/>
    <n v="0.16"/>
    <n v="23.96"/>
    <n v="125.79"/>
    <n v="10.06"/>
    <n v="135.85"/>
    <x v="1"/>
  </r>
  <r>
    <s v="TXN-00275"/>
    <x v="234"/>
    <x v="1"/>
    <s v="C014"/>
    <s v="Nexus Trading"/>
    <x v="2"/>
    <s v="Denver"/>
    <s v="PRD-014"/>
    <x v="10"/>
    <x v="1"/>
    <s v="Alice Morgan"/>
    <x v="0"/>
    <n v="17"/>
    <n v="479.99"/>
    <n v="8159.83"/>
    <n v="0.05"/>
    <n v="407.99"/>
    <n v="7751.84"/>
    <n v="620.15"/>
    <n v="0"/>
    <x v="0"/>
  </r>
  <r>
    <s v="TXN-00256"/>
    <x v="235"/>
    <x v="1"/>
    <s v="C008"/>
    <s v="Horizon Group"/>
    <x v="2"/>
    <s v="Seattle"/>
    <s v="PRD-010"/>
    <x v="1"/>
    <x v="1"/>
    <s v="Eva Patel"/>
    <x v="2"/>
    <n v="8"/>
    <n v="89.99"/>
    <n v="719.92"/>
    <n v="0"/>
    <n v="0"/>
    <n v="719.92"/>
    <n v="57.59"/>
    <n v="777.51"/>
    <x v="1"/>
  </r>
  <r>
    <s v="TXN-00301"/>
    <x v="235"/>
    <x v="1"/>
    <s v="C008"/>
    <s v="Horizon Group"/>
    <x v="2"/>
    <s v="Seattle"/>
    <s v="PRD-014"/>
    <x v="10"/>
    <x v="1"/>
    <s v="Carol Davis"/>
    <x v="3"/>
    <n v="2"/>
    <n v="479.99"/>
    <n v="959.98"/>
    <n v="0"/>
    <n v="0"/>
    <n v="959.98"/>
    <n v="76.8"/>
    <n v="1036.78"/>
    <x v="1"/>
  </r>
  <r>
    <s v="TXN-00264"/>
    <x v="236"/>
    <x v="1"/>
    <s v="C007"/>
    <s v="Global Dynamics"/>
    <x v="3"/>
    <s v="Philadelphia"/>
    <s v="PRD-002"/>
    <x v="9"/>
    <x v="1"/>
    <s v="Alice Morgan"/>
    <x v="4"/>
    <n v="19"/>
    <n v="29.99"/>
    <n v="569.80999999999995"/>
    <n v="0.05"/>
    <n v="28.49"/>
    <n v="541.32000000000005"/>
    <n v="43.31"/>
    <n v="584.63"/>
    <x v="1"/>
  </r>
  <r>
    <s v="TXN-00408"/>
    <x v="236"/>
    <x v="1"/>
    <s v="C007"/>
    <s v="Global Dynamics"/>
    <x v="3"/>
    <s v="Philadelphia"/>
    <s v="PRD-015"/>
    <x v="11"/>
    <x v="0"/>
    <s v="David Kim"/>
    <x v="0"/>
    <n v="3"/>
    <n v="79.989999999999995"/>
    <n v="239.97"/>
    <n v="0"/>
    <n v="0"/>
    <n v="239.97"/>
    <n v="19.2"/>
    <n v="259.17"/>
    <x v="1"/>
  </r>
  <r>
    <s v="TXN-00343"/>
    <x v="237"/>
    <x v="1"/>
    <s v="C005"/>
    <s v="Eagle Tech"/>
    <x v="0"/>
    <s v="Chicago"/>
    <s v="PRD-002"/>
    <x v="9"/>
    <x v="1"/>
    <s v="David Kim"/>
    <x v="1"/>
    <n v="14"/>
    <n v="29.99"/>
    <n v="419.86"/>
    <n v="0.13"/>
    <n v="54.58"/>
    <n v="365.28"/>
    <n v="29.22"/>
    <n v="0"/>
    <x v="0"/>
  </r>
  <r>
    <s v="TXN-00383"/>
    <x v="238"/>
    <x v="1"/>
    <s v="C007"/>
    <s v="Global Dynamics"/>
    <x v="3"/>
    <s v="Philadelphia"/>
    <s v="PRD-006"/>
    <x v="0"/>
    <x v="0"/>
    <s v="Bob Chen"/>
    <x v="1"/>
    <n v="7"/>
    <n v="8.99"/>
    <n v="62.93"/>
    <n v="0.08"/>
    <n v="5.03"/>
    <n v="57.9"/>
    <n v="4.63"/>
    <n v="62.53"/>
    <x v="2"/>
  </r>
  <r>
    <s v="TXN-00253"/>
    <x v="239"/>
    <x v="1"/>
    <s v="C011"/>
    <s v="Keystone Ventures"/>
    <x v="3"/>
    <s v="Washington DC"/>
    <s v="PRD-001"/>
    <x v="5"/>
    <x v="1"/>
    <s v="Alice Morgan"/>
    <x v="2"/>
    <n v="22"/>
    <n v="1199.99"/>
    <n v="26399.78"/>
    <n v="0.08"/>
    <n v="2111.98"/>
    <n v="24287.8"/>
    <n v="1943.02"/>
    <n v="26230.82"/>
    <x v="1"/>
  </r>
  <r>
    <s v="TXN-00261"/>
    <x v="240"/>
    <x v="1"/>
    <s v="C001"/>
    <s v="Apex Solutions"/>
    <x v="0"/>
    <s v="New York"/>
    <s v="PRD-007"/>
    <x v="13"/>
    <x v="1"/>
    <s v="David Kim"/>
    <x v="3"/>
    <n v="19"/>
    <n v="129.99"/>
    <n v="2469.81"/>
    <n v="0.05"/>
    <n v="123.49"/>
    <n v="2346.3200000000002"/>
    <n v="187.71"/>
    <n v="2534.0300000000002"/>
    <x v="1"/>
  </r>
  <r>
    <s v="TXN-00239"/>
    <x v="241"/>
    <x v="1"/>
    <s v="C008"/>
    <s v="Horizon Group"/>
    <x v="2"/>
    <s v="Seattle"/>
    <s v="PRD-015"/>
    <x v="11"/>
    <x v="0"/>
    <s v="Alice Morgan"/>
    <x v="3"/>
    <n v="3"/>
    <n v="79.989999999999995"/>
    <n v="239.97"/>
    <n v="0"/>
    <n v="0"/>
    <n v="239.97"/>
    <n v="19.2"/>
    <n v="259.17"/>
    <x v="1"/>
  </r>
  <r>
    <s v="TXN-00279"/>
    <x v="242"/>
    <x v="1"/>
    <s v="C003"/>
    <s v="Crestview Ltd"/>
    <x v="3"/>
    <s v="Boston"/>
    <s v="PRD-011"/>
    <x v="7"/>
    <x v="1"/>
    <s v="Alice Morgan"/>
    <x v="4"/>
    <n v="15"/>
    <n v="249.99"/>
    <n v="3749.85"/>
    <n v="0.05"/>
    <n v="187.49"/>
    <n v="3562.36"/>
    <n v="284.99"/>
    <n v="3847.35"/>
    <x v="2"/>
  </r>
  <r>
    <s v="TXN-00382"/>
    <x v="243"/>
    <x v="1"/>
    <s v="C001"/>
    <s v="Apex Solutions"/>
    <x v="0"/>
    <s v="New York"/>
    <s v="PRD-004"/>
    <x v="8"/>
    <x v="2"/>
    <s v="Eva Patel"/>
    <x v="3"/>
    <n v="1"/>
    <n v="349.99"/>
    <n v="349.99"/>
    <n v="0"/>
    <n v="0"/>
    <n v="349.99"/>
    <n v="28"/>
    <n v="377.99"/>
    <x v="1"/>
  </r>
  <r>
    <s v="TXN-00337"/>
    <x v="244"/>
    <x v="1"/>
    <s v="C002"/>
    <s v="Blue Ridge Corp"/>
    <x v="1"/>
    <s v="Atlanta"/>
    <s v="PRD-004"/>
    <x v="8"/>
    <x v="2"/>
    <s v="Bob Chen"/>
    <x v="3"/>
    <n v="6"/>
    <n v="349.99"/>
    <n v="2099.94"/>
    <n v="0"/>
    <n v="0"/>
    <n v="2099.94"/>
    <n v="168"/>
    <n v="2267.94"/>
    <x v="1"/>
  </r>
  <r>
    <s v="TXN-00293"/>
    <x v="245"/>
    <x v="1"/>
    <s v="C006"/>
    <s v="Foxfire Inc"/>
    <x v="1"/>
    <s v="Miami"/>
    <s v="PRD-007"/>
    <x v="13"/>
    <x v="1"/>
    <s v="Bob Chen"/>
    <x v="1"/>
    <n v="10"/>
    <n v="129.99"/>
    <n v="1299.9000000000001"/>
    <n v="0.13"/>
    <n v="168.99"/>
    <n v="1130.9100000000001"/>
    <n v="90.47"/>
    <n v="0"/>
    <x v="0"/>
  </r>
  <r>
    <s v="TXN-00304"/>
    <x v="245"/>
    <x v="1"/>
    <s v="C015"/>
    <s v="Orbit Industries"/>
    <x v="1"/>
    <s v="Houston"/>
    <s v="PRD-005"/>
    <x v="3"/>
    <x v="2"/>
    <s v="David Kim"/>
    <x v="4"/>
    <n v="16"/>
    <n v="599.99"/>
    <n v="9599.84"/>
    <n v="0.05"/>
    <n v="479.99"/>
    <n v="9119.85"/>
    <n v="729.59"/>
    <n v="9849.44"/>
    <x v="2"/>
  </r>
  <r>
    <s v="TXN-00299"/>
    <x v="246"/>
    <x v="1"/>
    <s v="C002"/>
    <s v="Blue Ridge Corp"/>
    <x v="1"/>
    <s v="Atlanta"/>
    <s v="PRD-014"/>
    <x v="10"/>
    <x v="1"/>
    <s v="Carol Davis"/>
    <x v="3"/>
    <n v="9"/>
    <n v="479.99"/>
    <n v="4319.91"/>
    <n v="0"/>
    <n v="0"/>
    <n v="4319.91"/>
    <n v="345.59"/>
    <n v="4665.5"/>
    <x v="1"/>
  </r>
  <r>
    <s v="TXN-00250"/>
    <x v="247"/>
    <x v="1"/>
    <s v="C002"/>
    <s v="Blue Ridge Corp"/>
    <x v="1"/>
    <s v="Atlanta"/>
    <s v="PRD-001"/>
    <x v="5"/>
    <x v="1"/>
    <s v="Eva Patel"/>
    <x v="4"/>
    <n v="14"/>
    <n v="1199.99"/>
    <n v="16799.86"/>
    <n v="0.05"/>
    <n v="839.99"/>
    <n v="15959.87"/>
    <n v="1276.79"/>
    <n v="17236.66"/>
    <x v="1"/>
  </r>
  <r>
    <s v="TXN-00317"/>
    <x v="248"/>
    <x v="1"/>
    <s v="C013"/>
    <s v="Maverick Systems"/>
    <x v="0"/>
    <s v="Minneapolis"/>
    <s v="PRD-003"/>
    <x v="14"/>
    <x v="1"/>
    <s v="Bob Chen"/>
    <x v="3"/>
    <n v="25"/>
    <n v="49.99"/>
    <n v="1249.75"/>
    <n v="0.08"/>
    <n v="99.98"/>
    <n v="1149.77"/>
    <n v="91.98"/>
    <n v="1241.75"/>
    <x v="2"/>
  </r>
  <r>
    <s v="TXN-00273"/>
    <x v="249"/>
    <x v="1"/>
    <s v="C001"/>
    <s v="Apex Solutions"/>
    <x v="0"/>
    <s v="New York"/>
    <s v="PRD-010"/>
    <x v="1"/>
    <x v="1"/>
    <s v="Carol Davis"/>
    <x v="0"/>
    <n v="10"/>
    <n v="89.99"/>
    <n v="899.9"/>
    <n v="0.05"/>
    <n v="45"/>
    <n v="854.9"/>
    <n v="68.39"/>
    <n v="923.29"/>
    <x v="1"/>
  </r>
  <r>
    <s v="TXN-00412"/>
    <x v="250"/>
    <x v="1"/>
    <s v="C012"/>
    <s v="Luminary Co"/>
    <x v="1"/>
    <s v="Dallas"/>
    <s v="PRD-006"/>
    <x v="0"/>
    <x v="0"/>
    <s v="Bob Chen"/>
    <x v="3"/>
    <n v="4"/>
    <n v="8.99"/>
    <n v="35.96"/>
    <n v="0"/>
    <n v="0"/>
    <n v="35.96"/>
    <n v="2.88"/>
    <n v="38.840000000000003"/>
    <x v="2"/>
  </r>
  <r>
    <s v="TXN-00312"/>
    <x v="251"/>
    <x v="1"/>
    <s v="C009"/>
    <s v="Ironclad Partners"/>
    <x v="0"/>
    <s v="Detroit"/>
    <s v="PRD-009"/>
    <x v="2"/>
    <x v="2"/>
    <s v="Eva Patel"/>
    <x v="0"/>
    <n v="13"/>
    <n v="39.99"/>
    <n v="519.87"/>
    <n v="0.05"/>
    <n v="25.99"/>
    <n v="493.88"/>
    <n v="39.51"/>
    <n v="533.39"/>
    <x v="1"/>
  </r>
  <r>
    <s v="TXN-00243"/>
    <x v="252"/>
    <x v="1"/>
    <s v="C010"/>
    <s v="Jade Innovations"/>
    <x v="2"/>
    <s v="San Francisco"/>
    <s v="PRD-002"/>
    <x v="9"/>
    <x v="1"/>
    <s v="Eva Patel"/>
    <x v="4"/>
    <n v="22"/>
    <n v="29.99"/>
    <n v="659.78"/>
    <n v="0.08"/>
    <n v="52.78"/>
    <n v="607"/>
    <n v="48.56"/>
    <n v="655.56"/>
    <x v="1"/>
  </r>
  <r>
    <s v="TXN-00297"/>
    <x v="252"/>
    <x v="1"/>
    <s v="C010"/>
    <s v="Jade Innovations"/>
    <x v="2"/>
    <s v="San Francisco"/>
    <s v="PRD-013"/>
    <x v="4"/>
    <x v="2"/>
    <s v="Bob Chen"/>
    <x v="2"/>
    <n v="21"/>
    <n v="229.99"/>
    <n v="4829.79"/>
    <n v="0.08"/>
    <n v="386.38"/>
    <n v="4443.41"/>
    <n v="355.47"/>
    <n v="4798.88"/>
    <x v="1"/>
  </r>
  <r>
    <s v="TXN-00356"/>
    <x v="253"/>
    <x v="1"/>
    <s v="C002"/>
    <s v="Blue Ridge Corp"/>
    <x v="1"/>
    <s v="Atlanta"/>
    <s v="PRD-008"/>
    <x v="12"/>
    <x v="1"/>
    <s v="Alice Morgan"/>
    <x v="4"/>
    <n v="14"/>
    <n v="399.99"/>
    <n v="5599.86"/>
    <n v="0.05"/>
    <n v="279.99"/>
    <n v="5319.87"/>
    <n v="425.59"/>
    <n v="5745.46"/>
    <x v="1"/>
  </r>
  <r>
    <s v="TXN-00288"/>
    <x v="254"/>
    <x v="1"/>
    <s v="C005"/>
    <s v="Eagle Tech"/>
    <x v="0"/>
    <s v="Chicago"/>
    <s v="PRD-006"/>
    <x v="0"/>
    <x v="0"/>
    <s v="Bob Chen"/>
    <x v="4"/>
    <n v="25"/>
    <n v="8.99"/>
    <n v="224.75"/>
    <n v="0.08"/>
    <n v="17.98"/>
    <n v="206.77"/>
    <n v="16.54"/>
    <n v="223.31"/>
    <x v="1"/>
  </r>
  <r>
    <s v="TXN-00231"/>
    <x v="255"/>
    <x v="1"/>
    <s v="C008"/>
    <s v="Horizon Group"/>
    <x v="2"/>
    <s v="Seattle"/>
    <s v="PRD-001"/>
    <x v="5"/>
    <x v="1"/>
    <s v="David Kim"/>
    <x v="1"/>
    <n v="4"/>
    <n v="1199.99"/>
    <n v="4799.96"/>
    <n v="0.08"/>
    <n v="384"/>
    <n v="4415.96"/>
    <n v="353.28"/>
    <n v="4769.24"/>
    <x v="2"/>
  </r>
  <r>
    <s v="TXN-00336"/>
    <x v="255"/>
    <x v="1"/>
    <s v="C008"/>
    <s v="Horizon Group"/>
    <x v="2"/>
    <s v="Seattle"/>
    <s v="PRD-012"/>
    <x v="6"/>
    <x v="0"/>
    <s v="Bob Chen"/>
    <x v="0"/>
    <n v="23"/>
    <n v="5.99"/>
    <n v="137.77000000000001"/>
    <n v="0.08"/>
    <n v="11.02"/>
    <n v="126.75"/>
    <n v="10.14"/>
    <n v="136.88999999999999"/>
    <x v="1"/>
  </r>
  <r>
    <s v="TXN-00258"/>
    <x v="256"/>
    <x v="1"/>
    <s v="C005"/>
    <s v="Eagle Tech"/>
    <x v="0"/>
    <s v="Chicago"/>
    <s v="PRD-013"/>
    <x v="4"/>
    <x v="2"/>
    <s v="Carol Davis"/>
    <x v="2"/>
    <n v="1"/>
    <n v="229.99"/>
    <n v="229.99"/>
    <n v="0"/>
    <n v="0"/>
    <n v="229.99"/>
    <n v="18.399999999999999"/>
    <n v="248.39"/>
    <x v="1"/>
  </r>
  <r>
    <s v="TXN-00308"/>
    <x v="257"/>
    <x v="1"/>
    <s v="C010"/>
    <s v="Jade Innovations"/>
    <x v="2"/>
    <s v="San Francisco"/>
    <s v="PRD-013"/>
    <x v="4"/>
    <x v="2"/>
    <s v="David Kim"/>
    <x v="3"/>
    <n v="27"/>
    <n v="229.99"/>
    <n v="6209.73"/>
    <n v="0.08"/>
    <n v="496.78"/>
    <n v="5712.95"/>
    <n v="457.04"/>
    <n v="6169.99"/>
    <x v="1"/>
  </r>
  <r>
    <s v="TXN-00334"/>
    <x v="257"/>
    <x v="1"/>
    <s v="C004"/>
    <s v="Delta Enterprises"/>
    <x v="2"/>
    <s v="Los Angeles"/>
    <s v="PRD-005"/>
    <x v="3"/>
    <x v="2"/>
    <s v="Alice Morgan"/>
    <x v="3"/>
    <n v="6"/>
    <n v="599.99"/>
    <n v="3599.94"/>
    <n v="0"/>
    <n v="0"/>
    <n v="3599.94"/>
    <n v="288"/>
    <n v="3887.94"/>
    <x v="2"/>
  </r>
  <r>
    <s v="TXN-00350"/>
    <x v="258"/>
    <x v="1"/>
    <s v="C011"/>
    <s v="Keystone Ventures"/>
    <x v="3"/>
    <s v="Washington DC"/>
    <s v="PRD-003"/>
    <x v="14"/>
    <x v="1"/>
    <s v="Carol Davis"/>
    <x v="0"/>
    <n v="3"/>
    <n v="49.99"/>
    <n v="149.97"/>
    <n v="0"/>
    <n v="0"/>
    <n v="149.97"/>
    <n v="12"/>
    <n v="0"/>
    <x v="0"/>
  </r>
  <r>
    <s v="TXN-00278"/>
    <x v="259"/>
    <x v="1"/>
    <s v="C008"/>
    <s v="Horizon Group"/>
    <x v="2"/>
    <s v="Seattle"/>
    <s v="PRD-001"/>
    <x v="5"/>
    <x v="1"/>
    <s v="Alice Morgan"/>
    <x v="2"/>
    <n v="3"/>
    <n v="1199.99"/>
    <n v="3599.97"/>
    <n v="0"/>
    <n v="0"/>
    <n v="3599.97"/>
    <n v="288"/>
    <n v="3887.97"/>
    <x v="2"/>
  </r>
  <r>
    <s v="TXN-00254"/>
    <x v="260"/>
    <x v="1"/>
    <s v="C010"/>
    <s v="Jade Innovations"/>
    <x v="2"/>
    <s v="San Francisco"/>
    <s v="PRD-008"/>
    <x v="12"/>
    <x v="1"/>
    <s v="David Kim"/>
    <x v="1"/>
    <n v="7"/>
    <n v="399.99"/>
    <n v="2799.93"/>
    <n v="0.08"/>
    <n v="223.99"/>
    <n v="2575.94"/>
    <n v="206.08"/>
    <n v="2782.02"/>
    <x v="1"/>
  </r>
  <r>
    <s v="TXN-00298"/>
    <x v="261"/>
    <x v="1"/>
    <s v="C006"/>
    <s v="Foxfire Inc"/>
    <x v="1"/>
    <s v="Miami"/>
    <s v="PRD-014"/>
    <x v="10"/>
    <x v="1"/>
    <s v="Eva Patel"/>
    <x v="3"/>
    <n v="28"/>
    <n v="479.99"/>
    <n v="13439.72"/>
    <n v="0.08"/>
    <n v="1075.18"/>
    <n v="12364.54"/>
    <n v="989.16"/>
    <n v="13353.7"/>
    <x v="2"/>
  </r>
  <r>
    <s v="TXN-00380"/>
    <x v="262"/>
    <x v="1"/>
    <s v="C004"/>
    <s v="Delta Enterprises"/>
    <x v="2"/>
    <s v="Los Angeles"/>
    <s v="PRD-010"/>
    <x v="1"/>
    <x v="1"/>
    <s v="Alice Morgan"/>
    <x v="0"/>
    <n v="6"/>
    <n v="89.99"/>
    <n v="539.94000000000005"/>
    <n v="0"/>
    <n v="0"/>
    <n v="539.94000000000005"/>
    <n v="43.2"/>
    <n v="583.14"/>
    <x v="1"/>
  </r>
  <r>
    <s v="TXN-00403"/>
    <x v="262"/>
    <x v="1"/>
    <s v="C006"/>
    <s v="Foxfire Inc"/>
    <x v="1"/>
    <s v="Miami"/>
    <s v="PRD-015"/>
    <x v="11"/>
    <x v="0"/>
    <s v="Carol Davis"/>
    <x v="1"/>
    <n v="18"/>
    <n v="79.989999999999995"/>
    <n v="1439.82"/>
    <n v="0.13"/>
    <n v="187.18"/>
    <n v="1252.6400000000001"/>
    <n v="100.21"/>
    <n v="1352.85"/>
    <x v="2"/>
  </r>
  <r>
    <s v="TXN-00227"/>
    <x v="263"/>
    <x v="1"/>
    <s v="C005"/>
    <s v="Eagle Tech"/>
    <x v="0"/>
    <s v="Chicago"/>
    <s v="PRD-003"/>
    <x v="14"/>
    <x v="1"/>
    <s v="Alice Morgan"/>
    <x v="4"/>
    <n v="14"/>
    <n v="49.99"/>
    <n v="699.86"/>
    <n v="0.05"/>
    <n v="34.99"/>
    <n v="664.87"/>
    <n v="53.19"/>
    <n v="718.06"/>
    <x v="2"/>
  </r>
  <r>
    <s v="TXN-00311"/>
    <x v="263"/>
    <x v="1"/>
    <s v="C003"/>
    <s v="Crestview Ltd"/>
    <x v="3"/>
    <s v="Boston"/>
    <s v="PRD-007"/>
    <x v="13"/>
    <x v="1"/>
    <s v="Alice Morgan"/>
    <x v="0"/>
    <n v="3"/>
    <n v="129.99"/>
    <n v="389.97"/>
    <n v="0"/>
    <n v="0"/>
    <n v="389.97"/>
    <n v="31.2"/>
    <n v="421.17"/>
    <x v="1"/>
  </r>
  <r>
    <s v="TXN-00386"/>
    <x v="264"/>
    <x v="1"/>
    <s v="C009"/>
    <s v="Ironclad Partners"/>
    <x v="0"/>
    <s v="Detroit"/>
    <s v="PRD-008"/>
    <x v="12"/>
    <x v="1"/>
    <s v="David Kim"/>
    <x v="2"/>
    <n v="15"/>
    <n v="399.99"/>
    <n v="5999.85"/>
    <n v="0.05"/>
    <n v="299.99"/>
    <n v="5699.86"/>
    <n v="455.99"/>
    <n v="6155.85"/>
    <x v="1"/>
  </r>
  <r>
    <s v="TXN-00319"/>
    <x v="265"/>
    <x v="1"/>
    <s v="C015"/>
    <s v="Orbit Industries"/>
    <x v="1"/>
    <s v="Houston"/>
    <s v="PRD-006"/>
    <x v="0"/>
    <x v="0"/>
    <s v="Carol Davis"/>
    <x v="0"/>
    <n v="27"/>
    <n v="8.99"/>
    <n v="242.73"/>
    <n v="0.08"/>
    <n v="19.420000000000002"/>
    <n v="223.31"/>
    <n v="17.86"/>
    <n v="241.17"/>
    <x v="1"/>
  </r>
  <r>
    <s v="TXN-00338"/>
    <x v="266"/>
    <x v="1"/>
    <s v="C013"/>
    <s v="Maverick Systems"/>
    <x v="0"/>
    <s v="Minneapolis"/>
    <s v="PRD-002"/>
    <x v="9"/>
    <x v="1"/>
    <s v="Carol Davis"/>
    <x v="2"/>
    <n v="3"/>
    <n v="29.99"/>
    <n v="89.97"/>
    <n v="0"/>
    <n v="0"/>
    <n v="89.97"/>
    <n v="7.2"/>
    <n v="97.17"/>
    <x v="2"/>
  </r>
  <r>
    <s v="TXN-00369"/>
    <x v="266"/>
    <x v="1"/>
    <s v="C002"/>
    <s v="Blue Ridge Corp"/>
    <x v="1"/>
    <s v="Atlanta"/>
    <s v="PRD-005"/>
    <x v="3"/>
    <x v="2"/>
    <s v="David Kim"/>
    <x v="0"/>
    <n v="25"/>
    <n v="599.99"/>
    <n v="14999.75"/>
    <n v="0.08"/>
    <n v="1199.98"/>
    <n v="13799.77"/>
    <n v="1103.98"/>
    <n v="14903.75"/>
    <x v="1"/>
  </r>
  <r>
    <s v="TXN-00345"/>
    <x v="267"/>
    <x v="1"/>
    <s v="C008"/>
    <s v="Horizon Group"/>
    <x v="2"/>
    <s v="Seattle"/>
    <s v="PRD-008"/>
    <x v="12"/>
    <x v="1"/>
    <s v="Eva Patel"/>
    <x v="2"/>
    <n v="29"/>
    <n v="399.99"/>
    <n v="11599.71"/>
    <n v="0.08"/>
    <n v="927.98"/>
    <n v="10671.73"/>
    <n v="853.74"/>
    <n v="11525.47"/>
    <x v="1"/>
  </r>
  <r>
    <s v="TXN-00222"/>
    <x v="268"/>
    <x v="1"/>
    <s v="C003"/>
    <s v="Crestview Ltd"/>
    <x v="3"/>
    <s v="Boston"/>
    <s v="PRD-004"/>
    <x v="8"/>
    <x v="2"/>
    <s v="Eva Patel"/>
    <x v="4"/>
    <n v="27"/>
    <n v="349.99"/>
    <n v="9449.73"/>
    <n v="0.08"/>
    <n v="755.98"/>
    <n v="8693.75"/>
    <n v="695.5"/>
    <n v="9389.25"/>
    <x v="1"/>
  </r>
  <r>
    <s v="TXN-00341"/>
    <x v="268"/>
    <x v="1"/>
    <s v="C003"/>
    <s v="Crestview Ltd"/>
    <x v="3"/>
    <s v="Boston"/>
    <s v="PRD-013"/>
    <x v="4"/>
    <x v="2"/>
    <s v="Bob Chen"/>
    <x v="1"/>
    <n v="12"/>
    <n v="229.99"/>
    <n v="2759.88"/>
    <n v="0.13"/>
    <n v="358.78"/>
    <n v="2401.1"/>
    <n v="192.09"/>
    <n v="2593.19"/>
    <x v="1"/>
  </r>
  <r>
    <s v="TXN-00368"/>
    <x v="268"/>
    <x v="1"/>
    <s v="C001"/>
    <s v="Apex Solutions"/>
    <x v="0"/>
    <s v="New York"/>
    <s v="PRD-007"/>
    <x v="13"/>
    <x v="1"/>
    <s v="Eva Patel"/>
    <x v="0"/>
    <n v="12"/>
    <n v="129.99"/>
    <n v="1559.88"/>
    <n v="0.05"/>
    <n v="77.989999999999995"/>
    <n v="1481.89"/>
    <n v="118.55"/>
    <n v="1600.44"/>
    <x v="1"/>
  </r>
  <r>
    <s v="TXN-00246"/>
    <x v="269"/>
    <x v="1"/>
    <s v="C014"/>
    <s v="Nexus Trading"/>
    <x v="2"/>
    <s v="Denver"/>
    <s v="PRD-013"/>
    <x v="4"/>
    <x v="2"/>
    <s v="Eva Patel"/>
    <x v="0"/>
    <n v="21"/>
    <n v="229.99"/>
    <n v="4829.79"/>
    <n v="0.08"/>
    <n v="386.38"/>
    <n v="4443.41"/>
    <n v="355.47"/>
    <n v="4798.88"/>
    <x v="2"/>
  </r>
  <r>
    <s v="TXN-00389"/>
    <x v="270"/>
    <x v="1"/>
    <s v="C004"/>
    <s v="Delta Enterprises"/>
    <x v="2"/>
    <s v="Los Angeles"/>
    <s v="PRD-012"/>
    <x v="6"/>
    <x v="0"/>
    <s v="David Kim"/>
    <x v="2"/>
    <n v="12"/>
    <n v="5.99"/>
    <n v="71.88"/>
    <n v="0.05"/>
    <n v="3.59"/>
    <n v="68.290000000000006"/>
    <n v="5.46"/>
    <n v="73.75"/>
    <x v="1"/>
  </r>
  <r>
    <s v="TXN-00245"/>
    <x v="271"/>
    <x v="1"/>
    <s v="C005"/>
    <s v="Eagle Tech"/>
    <x v="0"/>
    <s v="Chicago"/>
    <s v="PRD-013"/>
    <x v="4"/>
    <x v="2"/>
    <s v="Eva Patel"/>
    <x v="4"/>
    <n v="28"/>
    <n v="229.99"/>
    <n v="6439.72"/>
    <n v="0.08"/>
    <n v="515.17999999999995"/>
    <n v="5924.54"/>
    <n v="473.96"/>
    <n v="6398.5"/>
    <x v="1"/>
  </r>
  <r>
    <s v="TXN-00393"/>
    <x v="271"/>
    <x v="1"/>
    <s v="C008"/>
    <s v="Horizon Group"/>
    <x v="2"/>
    <s v="Seattle"/>
    <s v="PRD-012"/>
    <x v="6"/>
    <x v="0"/>
    <s v="Bob Chen"/>
    <x v="4"/>
    <n v="9"/>
    <n v="5.99"/>
    <n v="53.91"/>
    <n v="0"/>
    <n v="0"/>
    <n v="53.91"/>
    <n v="4.3099999999999996"/>
    <n v="0"/>
    <x v="0"/>
  </r>
  <r>
    <s v="TXN-00270"/>
    <x v="272"/>
    <x v="1"/>
    <s v="C008"/>
    <s v="Horizon Group"/>
    <x v="2"/>
    <s v="Seattle"/>
    <s v="PRD-008"/>
    <x v="12"/>
    <x v="1"/>
    <s v="Eva Patel"/>
    <x v="0"/>
    <n v="22"/>
    <n v="399.99"/>
    <n v="8799.7800000000007"/>
    <n v="0.08"/>
    <n v="703.98"/>
    <n v="8095.8"/>
    <n v="647.66"/>
    <n v="8743.4599999999991"/>
    <x v="1"/>
  </r>
  <r>
    <s v="TXN-00251"/>
    <x v="273"/>
    <x v="1"/>
    <s v="C003"/>
    <s v="Crestview Ltd"/>
    <x v="3"/>
    <s v="Boston"/>
    <s v="PRD-006"/>
    <x v="0"/>
    <x v="0"/>
    <s v="Carol Davis"/>
    <x v="2"/>
    <n v="11"/>
    <n v="8.99"/>
    <n v="98.89"/>
    <n v="0.05"/>
    <n v="4.9400000000000004"/>
    <n v="93.95"/>
    <n v="7.52"/>
    <n v="101.47"/>
    <x v="2"/>
  </r>
  <r>
    <s v="TXN-00276"/>
    <x v="274"/>
    <x v="1"/>
    <s v="C010"/>
    <s v="Jade Innovations"/>
    <x v="2"/>
    <s v="San Francisco"/>
    <s v="PRD-008"/>
    <x v="12"/>
    <x v="1"/>
    <s v="Eva Patel"/>
    <x v="3"/>
    <n v="30"/>
    <n v="399.99"/>
    <n v="11999.7"/>
    <n v="0.08"/>
    <n v="959.98"/>
    <n v="11039.72"/>
    <n v="883.18"/>
    <n v="11922.9"/>
    <x v="1"/>
  </r>
  <r>
    <s v="TXN-00310"/>
    <x v="274"/>
    <x v="1"/>
    <s v="C007"/>
    <s v="Global Dynamics"/>
    <x v="3"/>
    <s v="Philadelphia"/>
    <s v="PRD-005"/>
    <x v="3"/>
    <x v="2"/>
    <s v="Alice Morgan"/>
    <x v="0"/>
    <n v="8"/>
    <n v="599.99"/>
    <n v="4799.92"/>
    <n v="0"/>
    <n v="0"/>
    <n v="4799.92"/>
    <n v="383.99"/>
    <n v="5183.91"/>
    <x v="1"/>
  </r>
  <r>
    <s v="TXN-00353"/>
    <x v="274"/>
    <x v="1"/>
    <s v="C001"/>
    <s v="Apex Solutions"/>
    <x v="0"/>
    <s v="New York"/>
    <s v="PRD-002"/>
    <x v="9"/>
    <x v="1"/>
    <s v="Eva Patel"/>
    <x v="2"/>
    <n v="7"/>
    <n v="29.99"/>
    <n v="209.93"/>
    <n v="0"/>
    <n v="0"/>
    <n v="209.93"/>
    <n v="16.79"/>
    <n v="226.72"/>
    <x v="2"/>
  </r>
  <r>
    <s v="TXN-00379"/>
    <x v="275"/>
    <x v="1"/>
    <s v="C001"/>
    <s v="Apex Solutions"/>
    <x v="0"/>
    <s v="New York"/>
    <s v="PRD-011"/>
    <x v="7"/>
    <x v="1"/>
    <s v="Eva Patel"/>
    <x v="1"/>
    <n v="21"/>
    <n v="249.99"/>
    <n v="5249.79"/>
    <n v="0.16"/>
    <n v="839.97"/>
    <n v="4409.82"/>
    <n v="352.79"/>
    <n v="4762.6099999999997"/>
    <x v="1"/>
  </r>
  <r>
    <s v="TXN-00364"/>
    <x v="276"/>
    <x v="1"/>
    <s v="C007"/>
    <s v="Global Dynamics"/>
    <x v="3"/>
    <s v="Philadelphia"/>
    <s v="PRD-002"/>
    <x v="9"/>
    <x v="1"/>
    <s v="Eva Patel"/>
    <x v="1"/>
    <n v="7"/>
    <n v="29.99"/>
    <n v="209.93"/>
    <n v="0.08"/>
    <n v="16.79"/>
    <n v="193.14"/>
    <n v="15.45"/>
    <n v="208.59"/>
    <x v="1"/>
  </r>
  <r>
    <s v="TXN-00233"/>
    <x v="277"/>
    <x v="1"/>
    <s v="C002"/>
    <s v="Blue Ridge Corp"/>
    <x v="1"/>
    <s v="Atlanta"/>
    <s v="PRD-003"/>
    <x v="14"/>
    <x v="1"/>
    <s v="Bob Chen"/>
    <x v="2"/>
    <n v="21"/>
    <n v="49.99"/>
    <n v="1049.79"/>
    <n v="0.08"/>
    <n v="83.98"/>
    <n v="965.81"/>
    <n v="77.260000000000005"/>
    <n v="0"/>
    <x v="0"/>
  </r>
  <r>
    <s v="TXN-00240"/>
    <x v="278"/>
    <x v="1"/>
    <s v="C012"/>
    <s v="Luminary Co"/>
    <x v="1"/>
    <s v="Dallas"/>
    <s v="PRD-002"/>
    <x v="9"/>
    <x v="1"/>
    <s v="Carol Davis"/>
    <x v="4"/>
    <n v="2"/>
    <n v="29.99"/>
    <n v="59.98"/>
    <n v="0"/>
    <n v="0"/>
    <n v="59.98"/>
    <n v="4.8"/>
    <n v="0"/>
    <x v="0"/>
  </r>
  <r>
    <s v="TXN-00394"/>
    <x v="278"/>
    <x v="1"/>
    <s v="C005"/>
    <s v="Eagle Tech"/>
    <x v="0"/>
    <s v="Chicago"/>
    <s v="PRD-012"/>
    <x v="6"/>
    <x v="0"/>
    <s v="Bob Chen"/>
    <x v="3"/>
    <n v="24"/>
    <n v="5.99"/>
    <n v="143.76"/>
    <n v="0.08"/>
    <n v="11.5"/>
    <n v="132.26"/>
    <n v="10.58"/>
    <n v="0"/>
    <x v="0"/>
  </r>
  <r>
    <s v="TXN-00232"/>
    <x v="279"/>
    <x v="1"/>
    <s v="C015"/>
    <s v="Orbit Industries"/>
    <x v="1"/>
    <s v="Houston"/>
    <s v="PRD-012"/>
    <x v="6"/>
    <x v="0"/>
    <s v="David Kim"/>
    <x v="3"/>
    <n v="11"/>
    <n v="5.99"/>
    <n v="65.89"/>
    <n v="0.05"/>
    <n v="3.29"/>
    <n v="62.6"/>
    <n v="5.01"/>
    <n v="67.61"/>
    <x v="1"/>
  </r>
  <r>
    <s v="TXN-00329"/>
    <x v="279"/>
    <x v="1"/>
    <s v="C006"/>
    <s v="Foxfire Inc"/>
    <x v="1"/>
    <s v="Miami"/>
    <s v="PRD-007"/>
    <x v="13"/>
    <x v="1"/>
    <s v="Eva Patel"/>
    <x v="4"/>
    <n v="5"/>
    <n v="129.99"/>
    <n v="649.95000000000005"/>
    <n v="0"/>
    <n v="0"/>
    <n v="649.95000000000005"/>
    <n v="52"/>
    <n v="701.95"/>
    <x v="1"/>
  </r>
  <r>
    <s v="TXN-00374"/>
    <x v="280"/>
    <x v="1"/>
    <s v="C015"/>
    <s v="Orbit Industries"/>
    <x v="1"/>
    <s v="Houston"/>
    <s v="PRD-010"/>
    <x v="1"/>
    <x v="1"/>
    <s v="Eva Patel"/>
    <x v="4"/>
    <n v="30"/>
    <n v="89.99"/>
    <n v="2699.7"/>
    <n v="0.08"/>
    <n v="215.98"/>
    <n v="2483.7199999999998"/>
    <n v="198.7"/>
    <n v="2682.42"/>
    <x v="1"/>
  </r>
  <r>
    <s v="TXN-00229"/>
    <x v="281"/>
    <x v="1"/>
    <s v="C010"/>
    <s v="Jade Innovations"/>
    <x v="2"/>
    <s v="San Francisco"/>
    <s v="PRD-009"/>
    <x v="2"/>
    <x v="2"/>
    <s v="Alice Morgan"/>
    <x v="1"/>
    <n v="8"/>
    <n v="39.99"/>
    <n v="319.92"/>
    <n v="0.08"/>
    <n v="25.59"/>
    <n v="294.33"/>
    <n v="23.55"/>
    <n v="0"/>
    <x v="0"/>
  </r>
  <r>
    <s v="TXN-00252"/>
    <x v="282"/>
    <x v="1"/>
    <s v="C002"/>
    <s v="Blue Ridge Corp"/>
    <x v="1"/>
    <s v="Atlanta"/>
    <s v="PRD-010"/>
    <x v="1"/>
    <x v="1"/>
    <s v="Alice Morgan"/>
    <x v="4"/>
    <n v="25"/>
    <n v="89.99"/>
    <n v="2249.75"/>
    <n v="0.08"/>
    <n v="179.98"/>
    <n v="2069.77"/>
    <n v="165.58"/>
    <n v="2235.35"/>
    <x v="1"/>
  </r>
  <r>
    <s v="TXN-00269"/>
    <x v="283"/>
    <x v="1"/>
    <s v="C010"/>
    <s v="Jade Innovations"/>
    <x v="2"/>
    <s v="San Francisco"/>
    <s v="PRD-003"/>
    <x v="14"/>
    <x v="1"/>
    <s v="Bob Chen"/>
    <x v="3"/>
    <n v="25"/>
    <n v="49.99"/>
    <n v="1249.75"/>
    <n v="0.08"/>
    <n v="99.98"/>
    <n v="1149.77"/>
    <n v="91.98"/>
    <n v="1241.75"/>
    <x v="1"/>
  </r>
  <r>
    <s v="TXN-00281"/>
    <x v="284"/>
    <x v="1"/>
    <s v="C007"/>
    <s v="Global Dynamics"/>
    <x v="3"/>
    <s v="Philadelphia"/>
    <s v="PRD-007"/>
    <x v="13"/>
    <x v="1"/>
    <s v="Carol Davis"/>
    <x v="0"/>
    <n v="26"/>
    <n v="129.99"/>
    <n v="3379.74"/>
    <n v="0.08"/>
    <n v="270.38"/>
    <n v="3109.36"/>
    <n v="248.75"/>
    <n v="3358.11"/>
    <x v="1"/>
  </r>
  <r>
    <s v="TXN-00316"/>
    <x v="284"/>
    <x v="1"/>
    <s v="C006"/>
    <s v="Foxfire Inc"/>
    <x v="1"/>
    <s v="Miami"/>
    <s v="PRD-009"/>
    <x v="2"/>
    <x v="2"/>
    <s v="Bob Chen"/>
    <x v="1"/>
    <n v="16"/>
    <n v="39.99"/>
    <n v="639.84"/>
    <n v="0.13"/>
    <n v="83.18"/>
    <n v="556.66"/>
    <n v="44.53"/>
    <n v="601.19000000000005"/>
    <x v="2"/>
  </r>
  <r>
    <s v="TXN-00249"/>
    <x v="285"/>
    <x v="1"/>
    <s v="C011"/>
    <s v="Keystone Ventures"/>
    <x v="3"/>
    <s v="Washington DC"/>
    <s v="PRD-010"/>
    <x v="1"/>
    <x v="1"/>
    <s v="David Kim"/>
    <x v="3"/>
    <n v="24"/>
    <n v="89.99"/>
    <n v="2159.7600000000002"/>
    <n v="0.08"/>
    <n v="172.78"/>
    <n v="1986.98"/>
    <n v="158.96"/>
    <n v="2145.94"/>
    <x v="1"/>
  </r>
  <r>
    <s v="TXN-00328"/>
    <x v="286"/>
    <x v="1"/>
    <s v="C007"/>
    <s v="Global Dynamics"/>
    <x v="3"/>
    <s v="Philadelphia"/>
    <s v="PRD-010"/>
    <x v="1"/>
    <x v="1"/>
    <s v="Carol Davis"/>
    <x v="3"/>
    <n v="22"/>
    <n v="89.99"/>
    <n v="1979.78"/>
    <n v="0.08"/>
    <n v="158.38"/>
    <n v="1821.4"/>
    <n v="145.71"/>
    <n v="1967.11"/>
    <x v="1"/>
  </r>
  <r>
    <s v="TXN-00307"/>
    <x v="287"/>
    <x v="1"/>
    <s v="C005"/>
    <s v="Eagle Tech"/>
    <x v="0"/>
    <s v="Chicago"/>
    <s v="PRD-004"/>
    <x v="8"/>
    <x v="2"/>
    <s v="Alice Morgan"/>
    <x v="3"/>
    <n v="14"/>
    <n v="349.99"/>
    <n v="4899.8599999999997"/>
    <n v="0.05"/>
    <n v="244.99"/>
    <n v="4654.87"/>
    <n v="372.39"/>
    <n v="5027.26"/>
    <x v="1"/>
  </r>
  <r>
    <s v="TXN-00407"/>
    <x v="287"/>
    <x v="1"/>
    <s v="C011"/>
    <s v="Keystone Ventures"/>
    <x v="3"/>
    <s v="Washington DC"/>
    <s v="PRD-010"/>
    <x v="1"/>
    <x v="1"/>
    <s v="Bob Chen"/>
    <x v="4"/>
    <n v="28"/>
    <n v="89.99"/>
    <n v="2519.7199999999998"/>
    <n v="0.08"/>
    <n v="201.58"/>
    <n v="2318.14"/>
    <n v="185.45"/>
    <n v="0"/>
    <x v="0"/>
  </r>
  <r>
    <s v="TXN-00267"/>
    <x v="288"/>
    <x v="1"/>
    <s v="C009"/>
    <s v="Ironclad Partners"/>
    <x v="0"/>
    <s v="Detroit"/>
    <s v="PRD-009"/>
    <x v="2"/>
    <x v="2"/>
    <s v="Bob Chen"/>
    <x v="2"/>
    <n v="24"/>
    <n v="39.99"/>
    <n v="959.76"/>
    <n v="0.08"/>
    <n v="76.78"/>
    <n v="882.98"/>
    <n v="70.64"/>
    <n v="953.62"/>
    <x v="1"/>
  </r>
  <r>
    <s v="TXN-00274"/>
    <x v="288"/>
    <x v="1"/>
    <s v="C001"/>
    <s v="Apex Solutions"/>
    <x v="0"/>
    <s v="New York"/>
    <s v="PRD-008"/>
    <x v="12"/>
    <x v="1"/>
    <s v="Alice Morgan"/>
    <x v="2"/>
    <n v="3"/>
    <n v="399.99"/>
    <n v="1199.97"/>
    <n v="0"/>
    <n v="0"/>
    <n v="1199.97"/>
    <n v="96"/>
    <n v="1295.97"/>
    <x v="1"/>
  </r>
  <r>
    <s v="TXN-00405"/>
    <x v="289"/>
    <x v="1"/>
    <s v="C002"/>
    <s v="Blue Ridge Corp"/>
    <x v="1"/>
    <s v="Atlanta"/>
    <s v="PRD-013"/>
    <x v="4"/>
    <x v="2"/>
    <s v="Carol Davis"/>
    <x v="4"/>
    <n v="15"/>
    <n v="229.99"/>
    <n v="3449.85"/>
    <n v="0.05"/>
    <n v="172.49"/>
    <n v="3277.36"/>
    <n v="262.19"/>
    <n v="3539.55"/>
    <x v="2"/>
  </r>
  <r>
    <s v="TXN-00333"/>
    <x v="290"/>
    <x v="1"/>
    <s v="C003"/>
    <s v="Crestview Ltd"/>
    <x v="3"/>
    <s v="Boston"/>
    <s v="PRD-010"/>
    <x v="1"/>
    <x v="1"/>
    <s v="Eva Patel"/>
    <x v="2"/>
    <n v="11"/>
    <n v="89.99"/>
    <n v="989.89"/>
    <n v="0.05"/>
    <n v="49.49"/>
    <n v="940.4"/>
    <n v="75.23"/>
    <n v="1015.63"/>
    <x v="1"/>
  </r>
  <r>
    <s v="TXN-00365"/>
    <x v="291"/>
    <x v="1"/>
    <s v="C001"/>
    <s v="Apex Solutions"/>
    <x v="0"/>
    <s v="New York"/>
    <s v="PRD-006"/>
    <x v="0"/>
    <x v="0"/>
    <s v="Alice Morgan"/>
    <x v="2"/>
    <n v="20"/>
    <n v="8.99"/>
    <n v="179.8"/>
    <n v="0.08"/>
    <n v="14.38"/>
    <n v="165.42"/>
    <n v="13.23"/>
    <n v="178.65"/>
    <x v="1"/>
  </r>
  <r>
    <s v="TXN-00411"/>
    <x v="291"/>
    <x v="1"/>
    <s v="C005"/>
    <s v="Eagle Tech"/>
    <x v="0"/>
    <s v="Chicago"/>
    <s v="PRD-006"/>
    <x v="0"/>
    <x v="0"/>
    <s v="Eva Patel"/>
    <x v="0"/>
    <n v="9"/>
    <n v="8.99"/>
    <n v="80.91"/>
    <n v="0"/>
    <n v="0"/>
    <n v="80.91"/>
    <n v="6.47"/>
    <n v="87.38"/>
    <x v="1"/>
  </r>
  <r>
    <s v="TXN-00314"/>
    <x v="292"/>
    <x v="1"/>
    <s v="C013"/>
    <s v="Maverick Systems"/>
    <x v="0"/>
    <s v="Minneapolis"/>
    <s v="PRD-006"/>
    <x v="0"/>
    <x v="0"/>
    <s v="Alice Morgan"/>
    <x v="2"/>
    <n v="24"/>
    <n v="8.99"/>
    <n v="215.76"/>
    <n v="0.08"/>
    <n v="17.260000000000002"/>
    <n v="198.5"/>
    <n v="15.88"/>
    <n v="214.38"/>
    <x v="1"/>
  </r>
  <r>
    <s v="TXN-00351"/>
    <x v="293"/>
    <x v="1"/>
    <s v="C003"/>
    <s v="Crestview Ltd"/>
    <x v="3"/>
    <s v="Boston"/>
    <s v="PRD-011"/>
    <x v="7"/>
    <x v="1"/>
    <s v="Eva Patel"/>
    <x v="0"/>
    <n v="6"/>
    <n v="249.99"/>
    <n v="1499.94"/>
    <n v="0"/>
    <n v="0"/>
    <n v="1499.94"/>
    <n v="120"/>
    <n v="1619.94"/>
    <x v="1"/>
  </r>
  <r>
    <s v="TXN-00325"/>
    <x v="294"/>
    <x v="1"/>
    <s v="C005"/>
    <s v="Eagle Tech"/>
    <x v="0"/>
    <s v="Chicago"/>
    <s v="PRD-009"/>
    <x v="2"/>
    <x v="2"/>
    <s v="Carol Davis"/>
    <x v="3"/>
    <n v="11"/>
    <n v="39.99"/>
    <n v="439.89"/>
    <n v="0.05"/>
    <n v="21.99"/>
    <n v="417.9"/>
    <n v="33.43"/>
    <n v="451.33"/>
    <x v="1"/>
  </r>
  <r>
    <s v="TXN-00385"/>
    <x v="295"/>
    <x v="1"/>
    <s v="C003"/>
    <s v="Crestview Ltd"/>
    <x v="3"/>
    <s v="Boston"/>
    <s v="PRD-012"/>
    <x v="6"/>
    <x v="0"/>
    <s v="Eva Patel"/>
    <x v="4"/>
    <n v="11"/>
    <n v="5.99"/>
    <n v="65.89"/>
    <n v="0.05"/>
    <n v="3.29"/>
    <n v="62.6"/>
    <n v="5.01"/>
    <n v="0"/>
    <x v="0"/>
  </r>
  <r>
    <s v="TXN-00241"/>
    <x v="296"/>
    <x v="1"/>
    <s v="C009"/>
    <s v="Ironclad Partners"/>
    <x v="0"/>
    <s v="Detroit"/>
    <s v="PRD-009"/>
    <x v="2"/>
    <x v="2"/>
    <s v="Carol Davis"/>
    <x v="3"/>
    <n v="12"/>
    <n v="39.99"/>
    <n v="479.88"/>
    <n v="0.05"/>
    <n v="23.99"/>
    <n v="455.89"/>
    <n v="36.47"/>
    <n v="492.36"/>
    <x v="1"/>
  </r>
  <r>
    <s v="TXN-00377"/>
    <x v="297"/>
    <x v="1"/>
    <s v="C005"/>
    <s v="Eagle Tech"/>
    <x v="0"/>
    <s v="Chicago"/>
    <s v="PRD-010"/>
    <x v="1"/>
    <x v="1"/>
    <s v="David Kim"/>
    <x v="3"/>
    <n v="11"/>
    <n v="89.99"/>
    <n v="989.89"/>
    <n v="0.05"/>
    <n v="49.49"/>
    <n v="940.4"/>
    <n v="75.23"/>
    <n v="1015.63"/>
    <x v="1"/>
  </r>
  <r>
    <s v="TXN-00390"/>
    <x v="298"/>
    <x v="1"/>
    <s v="C015"/>
    <s v="Orbit Industries"/>
    <x v="1"/>
    <s v="Houston"/>
    <s v="PRD-015"/>
    <x v="11"/>
    <x v="0"/>
    <s v="Carol Davis"/>
    <x v="2"/>
    <n v="19"/>
    <n v="79.989999999999995"/>
    <n v="1519.81"/>
    <n v="0.05"/>
    <n v="75.989999999999995"/>
    <n v="1443.82"/>
    <n v="115.51"/>
    <n v="1559.33"/>
    <x v="1"/>
  </r>
  <r>
    <s v="TXN-00255"/>
    <x v="299"/>
    <x v="1"/>
    <s v="C006"/>
    <s v="Foxfire Inc"/>
    <x v="1"/>
    <s v="Miami"/>
    <s v="PRD-002"/>
    <x v="9"/>
    <x v="1"/>
    <s v="David Kim"/>
    <x v="3"/>
    <n v="22"/>
    <n v="29.99"/>
    <n v="659.78"/>
    <n v="0.08"/>
    <n v="52.78"/>
    <n v="607"/>
    <n v="48.56"/>
    <n v="655.56"/>
    <x v="1"/>
  </r>
  <r>
    <s v="TXN-00282"/>
    <x v="299"/>
    <x v="1"/>
    <s v="C006"/>
    <s v="Foxfire Inc"/>
    <x v="1"/>
    <s v="Miami"/>
    <s v="PRD-011"/>
    <x v="7"/>
    <x v="1"/>
    <s v="Alice Morgan"/>
    <x v="2"/>
    <n v="18"/>
    <n v="249.99"/>
    <n v="4499.82"/>
    <n v="0.05"/>
    <n v="224.99"/>
    <n v="4274.83"/>
    <n v="341.99"/>
    <n v="4616.82"/>
    <x v="1"/>
  </r>
  <r>
    <s v="TXN-00381"/>
    <x v="300"/>
    <x v="1"/>
    <s v="C012"/>
    <s v="Luminary Co"/>
    <x v="1"/>
    <s v="Dallas"/>
    <s v="PRD-011"/>
    <x v="7"/>
    <x v="1"/>
    <s v="Eva Patel"/>
    <x v="1"/>
    <n v="27"/>
    <n v="249.99"/>
    <n v="6749.73"/>
    <n v="0.16"/>
    <n v="1079.96"/>
    <n v="5669.77"/>
    <n v="453.58"/>
    <n v="6123.35"/>
    <x v="1"/>
  </r>
  <r>
    <s v="TXN-00286"/>
    <x v="301"/>
    <x v="1"/>
    <s v="C007"/>
    <s v="Global Dynamics"/>
    <x v="3"/>
    <s v="Philadelphia"/>
    <s v="PRD-009"/>
    <x v="2"/>
    <x v="2"/>
    <s v="Carol Davis"/>
    <x v="4"/>
    <n v="23"/>
    <n v="39.99"/>
    <n v="919.77"/>
    <n v="0.08"/>
    <n v="73.58"/>
    <n v="846.19"/>
    <n v="67.7"/>
    <n v="913.89"/>
    <x v="2"/>
  </r>
  <r>
    <s v="TXN-00238"/>
    <x v="302"/>
    <x v="1"/>
    <s v="C007"/>
    <s v="Global Dynamics"/>
    <x v="3"/>
    <s v="Philadelphia"/>
    <s v="PRD-006"/>
    <x v="0"/>
    <x v="0"/>
    <s v="Carol Davis"/>
    <x v="2"/>
    <n v="5"/>
    <n v="8.99"/>
    <n v="44.95"/>
    <n v="0"/>
    <n v="0"/>
    <n v="44.95"/>
    <n v="3.6"/>
    <n v="48.55"/>
    <x v="1"/>
  </r>
  <r>
    <s v="TXN-00378"/>
    <x v="303"/>
    <x v="1"/>
    <s v="C007"/>
    <s v="Global Dynamics"/>
    <x v="3"/>
    <s v="Philadelphia"/>
    <s v="PRD-002"/>
    <x v="9"/>
    <x v="1"/>
    <s v="Eva Patel"/>
    <x v="2"/>
    <n v="28"/>
    <n v="29.99"/>
    <n v="839.72"/>
    <n v="0.08"/>
    <n v="67.180000000000007"/>
    <n v="772.54"/>
    <n v="61.8"/>
    <n v="834.34"/>
    <x v="2"/>
  </r>
  <r>
    <s v="TXN-00284"/>
    <x v="304"/>
    <x v="1"/>
    <s v="C011"/>
    <s v="Keystone Ventures"/>
    <x v="3"/>
    <s v="Washington DC"/>
    <s v="PRD-010"/>
    <x v="1"/>
    <x v="1"/>
    <s v="Bob Chen"/>
    <x v="2"/>
    <n v="21"/>
    <n v="89.99"/>
    <n v="1889.79"/>
    <n v="0.08"/>
    <n v="151.18"/>
    <n v="1738.61"/>
    <n v="139.09"/>
    <n v="1877.7"/>
    <x v="1"/>
  </r>
  <r>
    <s v="TXN-00339"/>
    <x v="305"/>
    <x v="1"/>
    <s v="C005"/>
    <s v="Eagle Tech"/>
    <x v="0"/>
    <s v="Chicago"/>
    <s v="PRD-009"/>
    <x v="2"/>
    <x v="2"/>
    <s v="Carol Davis"/>
    <x v="4"/>
    <n v="23"/>
    <n v="39.99"/>
    <n v="919.77"/>
    <n v="0.08"/>
    <n v="73.58"/>
    <n v="846.19"/>
    <n v="67.7"/>
    <n v="913.89"/>
    <x v="2"/>
  </r>
  <r>
    <s v="TXN-00235"/>
    <x v="306"/>
    <x v="1"/>
    <s v="C009"/>
    <s v="Ironclad Partners"/>
    <x v="0"/>
    <s v="Detroit"/>
    <s v="PRD-008"/>
    <x v="12"/>
    <x v="1"/>
    <s v="Eva Patel"/>
    <x v="1"/>
    <n v="26"/>
    <n v="399.99"/>
    <n v="10399.74"/>
    <n v="0.16"/>
    <n v="1663.96"/>
    <n v="8735.7800000000007"/>
    <n v="698.86"/>
    <n v="9434.64"/>
    <x v="1"/>
  </r>
  <r>
    <s v="TXN-00247"/>
    <x v="306"/>
    <x v="1"/>
    <s v="C010"/>
    <s v="Jade Innovations"/>
    <x v="2"/>
    <s v="San Francisco"/>
    <s v="PRD-001"/>
    <x v="5"/>
    <x v="1"/>
    <s v="Carol Davis"/>
    <x v="3"/>
    <n v="9"/>
    <n v="1199.99"/>
    <n v="10799.91"/>
    <n v="0"/>
    <n v="0"/>
    <n v="10799.91"/>
    <n v="863.99"/>
    <n v="11663.9"/>
    <x v="1"/>
  </r>
  <r>
    <s v="TXN-00259"/>
    <x v="307"/>
    <x v="1"/>
    <s v="C007"/>
    <s v="Global Dynamics"/>
    <x v="3"/>
    <s v="Philadelphia"/>
    <s v="PRD-012"/>
    <x v="6"/>
    <x v="0"/>
    <s v="Bob Chen"/>
    <x v="4"/>
    <n v="18"/>
    <n v="5.99"/>
    <n v="107.82"/>
    <n v="0.05"/>
    <n v="5.39"/>
    <n v="102.43"/>
    <n v="8.19"/>
    <n v="110.62"/>
    <x v="1"/>
  </r>
  <r>
    <s v="TXN-00376"/>
    <x v="308"/>
    <x v="1"/>
    <s v="C006"/>
    <s v="Foxfire Inc"/>
    <x v="1"/>
    <s v="Miami"/>
    <s v="PRD-010"/>
    <x v="1"/>
    <x v="1"/>
    <s v="Eva Patel"/>
    <x v="0"/>
    <n v="16"/>
    <n v="89.99"/>
    <n v="1439.84"/>
    <n v="0.05"/>
    <n v="71.989999999999995"/>
    <n v="1367.85"/>
    <n v="109.43"/>
    <n v="0"/>
    <x v="0"/>
  </r>
  <r>
    <s v="TXN-00423"/>
    <x v="309"/>
    <x v="2"/>
    <s v="C008"/>
    <s v="Horizon Group"/>
    <x v="2"/>
    <s v="Seattle"/>
    <s v="PRD-009"/>
    <x v="2"/>
    <x v="2"/>
    <s v="Carol Davis"/>
    <x v="3"/>
    <n v="9"/>
    <n v="39.99"/>
    <n v="359.91"/>
    <n v="0"/>
    <n v="0"/>
    <n v="359.91"/>
    <n v="28.79"/>
    <n v="388.7"/>
    <x v="1"/>
  </r>
  <r>
    <s v="TXN-00593"/>
    <x v="309"/>
    <x v="2"/>
    <s v="C010"/>
    <s v="Jade Innovations"/>
    <x v="2"/>
    <s v="San Francisco"/>
    <s v="PRD-015"/>
    <x v="11"/>
    <x v="0"/>
    <s v="Alice Morgan"/>
    <x v="4"/>
    <n v="17"/>
    <n v="79.989999999999995"/>
    <n v="1359.83"/>
    <n v="0.05"/>
    <n v="67.989999999999995"/>
    <n v="1291.8399999999999"/>
    <n v="103.35"/>
    <n v="1395.19"/>
    <x v="2"/>
  </r>
  <r>
    <s v="TXN-00510"/>
    <x v="310"/>
    <x v="2"/>
    <s v="C010"/>
    <s v="Jade Innovations"/>
    <x v="2"/>
    <s v="San Francisco"/>
    <s v="PRD-001"/>
    <x v="5"/>
    <x v="1"/>
    <s v="David Kim"/>
    <x v="2"/>
    <n v="4"/>
    <n v="1199.99"/>
    <n v="4799.96"/>
    <n v="0"/>
    <n v="0"/>
    <n v="4799.96"/>
    <n v="384"/>
    <n v="5183.96"/>
    <x v="1"/>
  </r>
  <r>
    <s v="TXN-00576"/>
    <x v="311"/>
    <x v="2"/>
    <s v="C008"/>
    <s v="Horizon Group"/>
    <x v="2"/>
    <s v="Seattle"/>
    <s v="PRD-004"/>
    <x v="8"/>
    <x v="2"/>
    <s v="Eva Patel"/>
    <x v="3"/>
    <n v="29"/>
    <n v="349.99"/>
    <n v="10149.709999999999"/>
    <n v="0.08"/>
    <n v="811.98"/>
    <n v="9337.73"/>
    <n v="747.02"/>
    <n v="0"/>
    <x v="0"/>
  </r>
  <r>
    <s v="TXN-00465"/>
    <x v="312"/>
    <x v="2"/>
    <s v="C001"/>
    <s v="Apex Solutions"/>
    <x v="0"/>
    <s v="New York"/>
    <s v="PRD-001"/>
    <x v="5"/>
    <x v="1"/>
    <s v="Eva Patel"/>
    <x v="0"/>
    <n v="1"/>
    <n v="1199.99"/>
    <n v="1199.99"/>
    <n v="0"/>
    <n v="0"/>
    <n v="1199.99"/>
    <n v="96"/>
    <n v="1295.99"/>
    <x v="1"/>
  </r>
  <r>
    <s v="TXN-00517"/>
    <x v="313"/>
    <x v="2"/>
    <s v="C002"/>
    <s v="Blue Ridge Corp"/>
    <x v="1"/>
    <s v="Atlanta"/>
    <s v="PRD-006"/>
    <x v="0"/>
    <x v="0"/>
    <s v="Carol Davis"/>
    <x v="3"/>
    <n v="4"/>
    <n v="8.99"/>
    <n v="35.96"/>
    <n v="0"/>
    <n v="0"/>
    <n v="35.96"/>
    <n v="2.88"/>
    <n v="38.840000000000003"/>
    <x v="2"/>
  </r>
  <r>
    <s v="TXN-00513"/>
    <x v="314"/>
    <x v="2"/>
    <s v="C013"/>
    <s v="Maverick Systems"/>
    <x v="0"/>
    <s v="Minneapolis"/>
    <s v="PRD-008"/>
    <x v="12"/>
    <x v="1"/>
    <s v="Eva Patel"/>
    <x v="0"/>
    <n v="12"/>
    <n v="399.99"/>
    <n v="4799.88"/>
    <n v="0.05"/>
    <n v="239.99"/>
    <n v="4559.8900000000003"/>
    <n v="364.79"/>
    <n v="4924.68"/>
    <x v="1"/>
  </r>
  <r>
    <s v="TXN-00476"/>
    <x v="315"/>
    <x v="2"/>
    <s v="C015"/>
    <s v="Orbit Industries"/>
    <x v="1"/>
    <s v="Houston"/>
    <s v="PRD-011"/>
    <x v="7"/>
    <x v="1"/>
    <s v="Carol Davis"/>
    <x v="0"/>
    <n v="22"/>
    <n v="249.99"/>
    <n v="5499.78"/>
    <n v="0.08"/>
    <n v="439.98"/>
    <n v="5059.8"/>
    <n v="404.78"/>
    <n v="0"/>
    <x v="0"/>
  </r>
  <r>
    <s v="TXN-00579"/>
    <x v="316"/>
    <x v="2"/>
    <s v="C010"/>
    <s v="Jade Innovations"/>
    <x v="2"/>
    <s v="San Francisco"/>
    <s v="PRD-001"/>
    <x v="5"/>
    <x v="1"/>
    <s v="Alice Morgan"/>
    <x v="3"/>
    <n v="7"/>
    <n v="1199.99"/>
    <n v="8399.93"/>
    <n v="0"/>
    <n v="0"/>
    <n v="8399.93"/>
    <n v="671.99"/>
    <n v="9071.92"/>
    <x v="1"/>
  </r>
  <r>
    <s v="TXN-00539"/>
    <x v="317"/>
    <x v="2"/>
    <s v="C002"/>
    <s v="Blue Ridge Corp"/>
    <x v="1"/>
    <s v="Atlanta"/>
    <s v="PRD-010"/>
    <x v="1"/>
    <x v="1"/>
    <s v="Carol Davis"/>
    <x v="0"/>
    <n v="18"/>
    <n v="89.99"/>
    <n v="1619.82"/>
    <n v="0.05"/>
    <n v="80.989999999999995"/>
    <n v="1538.83"/>
    <n v="123.11"/>
    <n v="1661.94"/>
    <x v="1"/>
  </r>
  <r>
    <s v="TXN-00434"/>
    <x v="318"/>
    <x v="2"/>
    <s v="C001"/>
    <s v="Apex Solutions"/>
    <x v="0"/>
    <s v="New York"/>
    <s v="PRD-010"/>
    <x v="1"/>
    <x v="1"/>
    <s v="David Kim"/>
    <x v="0"/>
    <n v="23"/>
    <n v="89.99"/>
    <n v="2069.77"/>
    <n v="0.08"/>
    <n v="165.58"/>
    <n v="1904.19"/>
    <n v="152.34"/>
    <n v="2056.5300000000002"/>
    <x v="2"/>
  </r>
  <r>
    <s v="TXN-00440"/>
    <x v="318"/>
    <x v="2"/>
    <s v="C012"/>
    <s v="Luminary Co"/>
    <x v="1"/>
    <s v="Dallas"/>
    <s v="PRD-015"/>
    <x v="11"/>
    <x v="0"/>
    <s v="Bob Chen"/>
    <x v="1"/>
    <n v="16"/>
    <n v="79.989999999999995"/>
    <n v="1279.8399999999999"/>
    <n v="0.13"/>
    <n v="166.38"/>
    <n v="1113.46"/>
    <n v="89.08"/>
    <n v="0"/>
    <x v="0"/>
  </r>
  <r>
    <s v="TXN-00480"/>
    <x v="319"/>
    <x v="2"/>
    <s v="C012"/>
    <s v="Luminary Co"/>
    <x v="1"/>
    <s v="Dallas"/>
    <s v="PRD-013"/>
    <x v="4"/>
    <x v="2"/>
    <s v="Alice Morgan"/>
    <x v="0"/>
    <n v="12"/>
    <n v="229.99"/>
    <n v="2759.88"/>
    <n v="0.05"/>
    <n v="137.99"/>
    <n v="2621.89"/>
    <n v="209.75"/>
    <n v="2831.64"/>
    <x v="2"/>
  </r>
  <r>
    <s v="TXN-00421"/>
    <x v="320"/>
    <x v="2"/>
    <s v="C010"/>
    <s v="Jade Innovations"/>
    <x v="2"/>
    <s v="San Francisco"/>
    <s v="PRD-012"/>
    <x v="6"/>
    <x v="0"/>
    <s v="David Kim"/>
    <x v="3"/>
    <n v="15"/>
    <n v="5.99"/>
    <n v="89.85"/>
    <n v="0.05"/>
    <n v="4.49"/>
    <n v="85.36"/>
    <n v="6.83"/>
    <n v="0"/>
    <x v="0"/>
  </r>
  <r>
    <s v="TXN-00422"/>
    <x v="321"/>
    <x v="2"/>
    <s v="C003"/>
    <s v="Crestview Ltd"/>
    <x v="3"/>
    <s v="Boston"/>
    <s v="PRD-008"/>
    <x v="12"/>
    <x v="1"/>
    <s v="Eva Patel"/>
    <x v="1"/>
    <n v="19"/>
    <n v="399.99"/>
    <n v="7599.81"/>
    <n v="0.13"/>
    <n v="987.98"/>
    <n v="6611.83"/>
    <n v="528.95000000000005"/>
    <n v="7140.78"/>
    <x v="1"/>
  </r>
  <r>
    <s v="TXN-00547"/>
    <x v="322"/>
    <x v="2"/>
    <s v="C009"/>
    <s v="Ironclad Partners"/>
    <x v="0"/>
    <s v="Detroit"/>
    <s v="PRD-014"/>
    <x v="10"/>
    <x v="1"/>
    <s v="Alice Morgan"/>
    <x v="4"/>
    <n v="30"/>
    <n v="479.99"/>
    <n v="14399.7"/>
    <n v="0.08"/>
    <n v="1151.98"/>
    <n v="13247.72"/>
    <n v="1059.82"/>
    <n v="14307.54"/>
    <x v="1"/>
  </r>
  <r>
    <s v="TXN-00418"/>
    <x v="323"/>
    <x v="2"/>
    <s v="C012"/>
    <s v="Luminary Co"/>
    <x v="1"/>
    <s v="Dallas"/>
    <s v="PRD-009"/>
    <x v="2"/>
    <x v="2"/>
    <s v="Carol Davis"/>
    <x v="3"/>
    <n v="4"/>
    <n v="39.99"/>
    <n v="159.96"/>
    <n v="0"/>
    <n v="0"/>
    <n v="159.96"/>
    <n v="12.8"/>
    <n v="0"/>
    <x v="0"/>
  </r>
  <r>
    <s v="TXN-00447"/>
    <x v="324"/>
    <x v="2"/>
    <s v="C005"/>
    <s v="Eagle Tech"/>
    <x v="0"/>
    <s v="Chicago"/>
    <s v="PRD-001"/>
    <x v="5"/>
    <x v="1"/>
    <s v="David Kim"/>
    <x v="0"/>
    <n v="2"/>
    <n v="1199.99"/>
    <n v="2399.98"/>
    <n v="0"/>
    <n v="0"/>
    <n v="2399.98"/>
    <n v="192"/>
    <n v="0"/>
    <x v="0"/>
  </r>
  <r>
    <s v="TXN-00578"/>
    <x v="324"/>
    <x v="2"/>
    <s v="C006"/>
    <s v="Foxfire Inc"/>
    <x v="1"/>
    <s v="Miami"/>
    <s v="PRD-007"/>
    <x v="13"/>
    <x v="1"/>
    <s v="Eva Patel"/>
    <x v="4"/>
    <n v="25"/>
    <n v="129.99"/>
    <n v="3249.75"/>
    <n v="0.08"/>
    <n v="259.98"/>
    <n v="2989.77"/>
    <n v="239.18"/>
    <n v="3228.95"/>
    <x v="1"/>
  </r>
  <r>
    <s v="TXN-00475"/>
    <x v="325"/>
    <x v="2"/>
    <s v="C010"/>
    <s v="Jade Innovations"/>
    <x v="2"/>
    <s v="San Francisco"/>
    <s v="PRD-015"/>
    <x v="11"/>
    <x v="0"/>
    <s v="David Kim"/>
    <x v="2"/>
    <n v="30"/>
    <n v="79.989999999999995"/>
    <n v="2399.6999999999998"/>
    <n v="0.08"/>
    <n v="191.98"/>
    <n v="2207.7199999999998"/>
    <n v="176.62"/>
    <n v="2384.34"/>
    <x v="1"/>
  </r>
  <r>
    <s v="TXN-00470"/>
    <x v="326"/>
    <x v="2"/>
    <s v="C010"/>
    <s v="Jade Innovations"/>
    <x v="2"/>
    <s v="San Francisco"/>
    <s v="PRD-008"/>
    <x v="12"/>
    <x v="1"/>
    <s v="Bob Chen"/>
    <x v="4"/>
    <n v="22"/>
    <n v="399.99"/>
    <n v="8799.7800000000007"/>
    <n v="0.08"/>
    <n v="703.98"/>
    <n v="8095.8"/>
    <n v="647.66"/>
    <n v="8743.4599999999991"/>
    <x v="1"/>
  </r>
  <r>
    <s v="TXN-00472"/>
    <x v="327"/>
    <x v="2"/>
    <s v="C008"/>
    <s v="Horizon Group"/>
    <x v="2"/>
    <s v="Seattle"/>
    <s v="PRD-009"/>
    <x v="2"/>
    <x v="2"/>
    <s v="Alice Morgan"/>
    <x v="3"/>
    <n v="6"/>
    <n v="39.99"/>
    <n v="239.94"/>
    <n v="0"/>
    <n v="0"/>
    <n v="239.94"/>
    <n v="19.2"/>
    <n v="259.14"/>
    <x v="2"/>
  </r>
  <r>
    <s v="TXN-00581"/>
    <x v="327"/>
    <x v="2"/>
    <s v="C013"/>
    <s v="Maverick Systems"/>
    <x v="0"/>
    <s v="Minneapolis"/>
    <s v="PRD-009"/>
    <x v="2"/>
    <x v="2"/>
    <s v="David Kim"/>
    <x v="1"/>
    <n v="13"/>
    <n v="39.99"/>
    <n v="519.87"/>
    <n v="0.13"/>
    <n v="67.58"/>
    <n v="452.29"/>
    <n v="36.18"/>
    <n v="488.47"/>
    <x v="2"/>
  </r>
  <r>
    <s v="TXN-00582"/>
    <x v="327"/>
    <x v="2"/>
    <s v="C009"/>
    <s v="Ironclad Partners"/>
    <x v="0"/>
    <s v="Detroit"/>
    <s v="PRD-011"/>
    <x v="7"/>
    <x v="1"/>
    <s v="Eva Patel"/>
    <x v="0"/>
    <n v="9"/>
    <n v="249.99"/>
    <n v="2249.91"/>
    <n v="0"/>
    <n v="0"/>
    <n v="2249.91"/>
    <n v="179.99"/>
    <n v="2429.9"/>
    <x v="1"/>
  </r>
  <r>
    <s v="TXN-00508"/>
    <x v="328"/>
    <x v="2"/>
    <s v="C015"/>
    <s v="Orbit Industries"/>
    <x v="1"/>
    <s v="Houston"/>
    <s v="PRD-012"/>
    <x v="6"/>
    <x v="0"/>
    <s v="Eva Patel"/>
    <x v="0"/>
    <n v="30"/>
    <n v="5.99"/>
    <n v="179.7"/>
    <n v="0.08"/>
    <n v="14.38"/>
    <n v="165.32"/>
    <n v="13.23"/>
    <n v="178.55"/>
    <x v="2"/>
  </r>
  <r>
    <s v="TXN-00473"/>
    <x v="329"/>
    <x v="2"/>
    <s v="C014"/>
    <s v="Nexus Trading"/>
    <x v="2"/>
    <s v="Denver"/>
    <s v="PRD-008"/>
    <x v="12"/>
    <x v="1"/>
    <s v="David Kim"/>
    <x v="2"/>
    <n v="28"/>
    <n v="399.99"/>
    <n v="11199.72"/>
    <n v="0.08"/>
    <n v="895.98"/>
    <n v="10303.74"/>
    <n v="824.3"/>
    <n v="0"/>
    <x v="0"/>
  </r>
  <r>
    <s v="TXN-00467"/>
    <x v="330"/>
    <x v="2"/>
    <s v="C012"/>
    <s v="Luminary Co"/>
    <x v="1"/>
    <s v="Dallas"/>
    <s v="PRD-014"/>
    <x v="10"/>
    <x v="1"/>
    <s v="David Kim"/>
    <x v="4"/>
    <n v="30"/>
    <n v="479.99"/>
    <n v="14399.7"/>
    <n v="0.08"/>
    <n v="1151.98"/>
    <n v="13247.72"/>
    <n v="1059.82"/>
    <n v="14307.54"/>
    <x v="1"/>
  </r>
  <r>
    <s v="TXN-00433"/>
    <x v="331"/>
    <x v="2"/>
    <s v="C010"/>
    <s v="Jade Innovations"/>
    <x v="2"/>
    <s v="San Francisco"/>
    <s v="PRD-007"/>
    <x v="13"/>
    <x v="1"/>
    <s v="Alice Morgan"/>
    <x v="4"/>
    <n v="3"/>
    <n v="129.99"/>
    <n v="389.97"/>
    <n v="0"/>
    <n v="0"/>
    <n v="389.97"/>
    <n v="31.2"/>
    <n v="421.17"/>
    <x v="1"/>
  </r>
  <r>
    <s v="TXN-00540"/>
    <x v="332"/>
    <x v="2"/>
    <s v="C012"/>
    <s v="Luminary Co"/>
    <x v="1"/>
    <s v="Dallas"/>
    <s v="PRD-013"/>
    <x v="4"/>
    <x v="2"/>
    <s v="David Kim"/>
    <x v="0"/>
    <n v="14"/>
    <n v="229.99"/>
    <n v="3219.86"/>
    <n v="0.05"/>
    <n v="160.99"/>
    <n v="3058.87"/>
    <n v="244.71"/>
    <n v="3303.58"/>
    <x v="1"/>
  </r>
  <r>
    <s v="TXN-00592"/>
    <x v="332"/>
    <x v="2"/>
    <s v="C010"/>
    <s v="Jade Innovations"/>
    <x v="2"/>
    <s v="San Francisco"/>
    <s v="PRD-014"/>
    <x v="10"/>
    <x v="1"/>
    <s v="Bob Chen"/>
    <x v="2"/>
    <n v="9"/>
    <n v="479.99"/>
    <n v="4319.91"/>
    <n v="0"/>
    <n v="0"/>
    <n v="4319.91"/>
    <n v="345.59"/>
    <n v="4665.5"/>
    <x v="1"/>
  </r>
  <r>
    <s v="TXN-00486"/>
    <x v="333"/>
    <x v="2"/>
    <s v="C011"/>
    <s v="Keystone Ventures"/>
    <x v="3"/>
    <s v="Washington DC"/>
    <s v="PRD-013"/>
    <x v="4"/>
    <x v="2"/>
    <s v="Bob Chen"/>
    <x v="1"/>
    <n v="12"/>
    <n v="229.99"/>
    <n v="2759.88"/>
    <n v="0.13"/>
    <n v="358.78"/>
    <n v="2401.1"/>
    <n v="192.09"/>
    <n v="2593.19"/>
    <x v="1"/>
  </r>
  <r>
    <s v="TXN-00538"/>
    <x v="334"/>
    <x v="2"/>
    <s v="C008"/>
    <s v="Horizon Group"/>
    <x v="2"/>
    <s v="Seattle"/>
    <s v="PRD-013"/>
    <x v="4"/>
    <x v="2"/>
    <s v="Eva Patel"/>
    <x v="1"/>
    <n v="17"/>
    <n v="229.99"/>
    <n v="3909.83"/>
    <n v="0.13"/>
    <n v="508.28"/>
    <n v="3401.55"/>
    <n v="272.12"/>
    <n v="0"/>
    <x v="0"/>
  </r>
  <r>
    <s v="TXN-00575"/>
    <x v="334"/>
    <x v="2"/>
    <s v="C011"/>
    <s v="Keystone Ventures"/>
    <x v="3"/>
    <s v="Washington DC"/>
    <s v="PRD-005"/>
    <x v="3"/>
    <x v="2"/>
    <s v="Alice Morgan"/>
    <x v="4"/>
    <n v="13"/>
    <n v="599.99"/>
    <n v="7799.87"/>
    <n v="0.05"/>
    <n v="389.99"/>
    <n v="7409.88"/>
    <n v="592.79"/>
    <n v="8002.67"/>
    <x v="1"/>
  </r>
  <r>
    <s v="TXN-00570"/>
    <x v="335"/>
    <x v="2"/>
    <s v="C004"/>
    <s v="Delta Enterprises"/>
    <x v="2"/>
    <s v="Los Angeles"/>
    <s v="PRD-014"/>
    <x v="10"/>
    <x v="1"/>
    <s v="Alice Morgan"/>
    <x v="3"/>
    <n v="25"/>
    <n v="479.99"/>
    <n v="11999.75"/>
    <n v="0.08"/>
    <n v="959.98"/>
    <n v="11039.77"/>
    <n v="883.18"/>
    <n v="11922.95"/>
    <x v="1"/>
  </r>
  <r>
    <s v="TXN-00496"/>
    <x v="336"/>
    <x v="2"/>
    <s v="C010"/>
    <s v="Jade Innovations"/>
    <x v="2"/>
    <s v="San Francisco"/>
    <s v="PRD-008"/>
    <x v="12"/>
    <x v="1"/>
    <s v="Eva Patel"/>
    <x v="4"/>
    <n v="4"/>
    <n v="399.99"/>
    <n v="1599.96"/>
    <n v="0"/>
    <n v="0"/>
    <n v="1599.96"/>
    <n v="128"/>
    <n v="1727.96"/>
    <x v="1"/>
  </r>
  <r>
    <s v="TXN-00479"/>
    <x v="337"/>
    <x v="2"/>
    <s v="C010"/>
    <s v="Jade Innovations"/>
    <x v="2"/>
    <s v="San Francisco"/>
    <s v="PRD-004"/>
    <x v="8"/>
    <x v="2"/>
    <s v="David Kim"/>
    <x v="0"/>
    <n v="13"/>
    <n v="349.99"/>
    <n v="4549.87"/>
    <n v="0.05"/>
    <n v="227.49"/>
    <n v="4322.38"/>
    <n v="345.79"/>
    <n v="4668.17"/>
    <x v="1"/>
  </r>
  <r>
    <s v="TXN-00504"/>
    <x v="337"/>
    <x v="2"/>
    <s v="C012"/>
    <s v="Luminary Co"/>
    <x v="1"/>
    <s v="Dallas"/>
    <s v="PRD-014"/>
    <x v="10"/>
    <x v="1"/>
    <s v="Alice Morgan"/>
    <x v="1"/>
    <n v="16"/>
    <n v="479.99"/>
    <n v="7679.84"/>
    <n v="0.13"/>
    <n v="998.38"/>
    <n v="6681.46"/>
    <n v="534.52"/>
    <n v="7215.98"/>
    <x v="2"/>
  </r>
  <r>
    <s v="TXN-00571"/>
    <x v="337"/>
    <x v="2"/>
    <s v="C012"/>
    <s v="Luminary Co"/>
    <x v="1"/>
    <s v="Dallas"/>
    <s v="PRD-010"/>
    <x v="1"/>
    <x v="1"/>
    <s v="David Kim"/>
    <x v="2"/>
    <n v="11"/>
    <n v="89.99"/>
    <n v="989.89"/>
    <n v="0.05"/>
    <n v="49.49"/>
    <n v="940.4"/>
    <n v="75.23"/>
    <n v="1015.63"/>
    <x v="1"/>
  </r>
  <r>
    <s v="TXN-00514"/>
    <x v="338"/>
    <x v="2"/>
    <s v="C002"/>
    <s v="Blue Ridge Corp"/>
    <x v="1"/>
    <s v="Atlanta"/>
    <s v="PRD-008"/>
    <x v="12"/>
    <x v="1"/>
    <s v="Carol Davis"/>
    <x v="1"/>
    <n v="4"/>
    <n v="399.99"/>
    <n v="1599.96"/>
    <n v="0.08"/>
    <n v="128"/>
    <n v="1471.96"/>
    <n v="117.76"/>
    <n v="1589.72"/>
    <x v="1"/>
  </r>
  <r>
    <s v="TXN-00477"/>
    <x v="339"/>
    <x v="2"/>
    <s v="C015"/>
    <s v="Orbit Industries"/>
    <x v="1"/>
    <s v="Houston"/>
    <s v="PRD-003"/>
    <x v="14"/>
    <x v="1"/>
    <s v="Carol Davis"/>
    <x v="3"/>
    <n v="19"/>
    <n v="49.99"/>
    <n v="949.81"/>
    <n v="0.05"/>
    <n v="47.49"/>
    <n v="902.32"/>
    <n v="72.19"/>
    <n v="974.51"/>
    <x v="1"/>
  </r>
  <r>
    <s v="TXN-00493"/>
    <x v="340"/>
    <x v="2"/>
    <s v="C003"/>
    <s v="Crestview Ltd"/>
    <x v="3"/>
    <s v="Boston"/>
    <s v="PRD-003"/>
    <x v="14"/>
    <x v="1"/>
    <s v="Carol Davis"/>
    <x v="2"/>
    <n v="16"/>
    <n v="49.99"/>
    <n v="799.84"/>
    <n v="0.05"/>
    <n v="39.99"/>
    <n v="759.85"/>
    <n v="60.79"/>
    <n v="820.64"/>
    <x v="1"/>
  </r>
  <r>
    <s v="TXN-00419"/>
    <x v="341"/>
    <x v="2"/>
    <s v="C009"/>
    <s v="Ironclad Partners"/>
    <x v="0"/>
    <s v="Detroit"/>
    <s v="PRD-014"/>
    <x v="10"/>
    <x v="1"/>
    <s v="Eva Patel"/>
    <x v="4"/>
    <n v="18"/>
    <n v="479.99"/>
    <n v="8639.82"/>
    <n v="0.05"/>
    <n v="431.99"/>
    <n v="8207.83"/>
    <n v="656.63"/>
    <n v="0"/>
    <x v="0"/>
  </r>
  <r>
    <s v="TXN-00537"/>
    <x v="342"/>
    <x v="2"/>
    <s v="C001"/>
    <s v="Apex Solutions"/>
    <x v="0"/>
    <s v="New York"/>
    <s v="PRD-005"/>
    <x v="3"/>
    <x v="2"/>
    <s v="Carol Davis"/>
    <x v="4"/>
    <n v="10"/>
    <n v="599.99"/>
    <n v="5999.9"/>
    <n v="0.05"/>
    <n v="300"/>
    <n v="5699.9"/>
    <n v="455.99"/>
    <n v="0"/>
    <x v="0"/>
  </r>
  <r>
    <s v="TXN-00483"/>
    <x v="343"/>
    <x v="2"/>
    <s v="C004"/>
    <s v="Delta Enterprises"/>
    <x v="2"/>
    <s v="Los Angeles"/>
    <s v="PRD-008"/>
    <x v="12"/>
    <x v="1"/>
    <s v="Carol Davis"/>
    <x v="0"/>
    <n v="14"/>
    <n v="399.99"/>
    <n v="5599.86"/>
    <n v="0.05"/>
    <n v="279.99"/>
    <n v="5319.87"/>
    <n v="425.59"/>
    <n v="5745.46"/>
    <x v="1"/>
  </r>
  <r>
    <s v="TXN-00446"/>
    <x v="344"/>
    <x v="2"/>
    <s v="C015"/>
    <s v="Orbit Industries"/>
    <x v="1"/>
    <s v="Houston"/>
    <s v="PRD-002"/>
    <x v="9"/>
    <x v="1"/>
    <s v="David Kim"/>
    <x v="2"/>
    <n v="18"/>
    <n v="29.99"/>
    <n v="539.82000000000005"/>
    <n v="0.05"/>
    <n v="26.99"/>
    <n v="512.83000000000004"/>
    <n v="41.03"/>
    <n v="553.86"/>
    <x v="1"/>
  </r>
  <r>
    <s v="TXN-00449"/>
    <x v="344"/>
    <x v="2"/>
    <s v="C015"/>
    <s v="Orbit Industries"/>
    <x v="1"/>
    <s v="Houston"/>
    <s v="PRD-014"/>
    <x v="10"/>
    <x v="1"/>
    <s v="Carol Davis"/>
    <x v="2"/>
    <n v="7"/>
    <n v="479.99"/>
    <n v="3359.93"/>
    <n v="0"/>
    <n v="0"/>
    <n v="3359.93"/>
    <n v="268.79000000000002"/>
    <n v="3628.72"/>
    <x v="1"/>
  </r>
  <r>
    <s v="TXN-00456"/>
    <x v="345"/>
    <x v="2"/>
    <s v="C010"/>
    <s v="Jade Innovations"/>
    <x v="2"/>
    <s v="San Francisco"/>
    <s v="PRD-015"/>
    <x v="11"/>
    <x v="0"/>
    <s v="Eva Patel"/>
    <x v="1"/>
    <n v="5"/>
    <n v="79.989999999999995"/>
    <n v="399.95"/>
    <n v="0.08"/>
    <n v="32"/>
    <n v="367.95"/>
    <n v="29.44"/>
    <n v="397.39"/>
    <x v="1"/>
  </r>
  <r>
    <s v="TXN-00600"/>
    <x v="346"/>
    <x v="2"/>
    <s v="C002"/>
    <s v="Blue Ridge Corp"/>
    <x v="1"/>
    <s v="Atlanta"/>
    <s v="PRD-006"/>
    <x v="0"/>
    <x v="0"/>
    <s v="Eva Patel"/>
    <x v="1"/>
    <n v="12"/>
    <n v="8.99"/>
    <n v="107.88"/>
    <n v="0.13"/>
    <n v="14.02"/>
    <n v="93.86"/>
    <n v="7.51"/>
    <n v="101.37"/>
    <x v="1"/>
  </r>
  <r>
    <s v="TXN-00420"/>
    <x v="347"/>
    <x v="2"/>
    <s v="C006"/>
    <s v="Foxfire Inc"/>
    <x v="1"/>
    <s v="Miami"/>
    <s v="PRD-003"/>
    <x v="14"/>
    <x v="1"/>
    <s v="Eva Patel"/>
    <x v="1"/>
    <n v="22"/>
    <n v="49.99"/>
    <n v="1099.78"/>
    <n v="0.16"/>
    <n v="175.96"/>
    <n v="923.82"/>
    <n v="73.91"/>
    <n v="997.73"/>
    <x v="1"/>
  </r>
  <r>
    <s v="TXN-00544"/>
    <x v="347"/>
    <x v="2"/>
    <s v="C003"/>
    <s v="Crestview Ltd"/>
    <x v="3"/>
    <s v="Boston"/>
    <s v="PRD-007"/>
    <x v="13"/>
    <x v="1"/>
    <s v="Eva Patel"/>
    <x v="4"/>
    <n v="27"/>
    <n v="129.99"/>
    <n v="3509.73"/>
    <n v="0.08"/>
    <n v="280.77999999999997"/>
    <n v="3228.95"/>
    <n v="258.32"/>
    <n v="3487.27"/>
    <x v="1"/>
  </r>
  <r>
    <s v="TXN-00448"/>
    <x v="348"/>
    <x v="2"/>
    <s v="C013"/>
    <s v="Maverick Systems"/>
    <x v="0"/>
    <s v="Minneapolis"/>
    <s v="PRD-004"/>
    <x v="8"/>
    <x v="2"/>
    <s v="Eva Patel"/>
    <x v="0"/>
    <n v="16"/>
    <n v="349.99"/>
    <n v="5599.84"/>
    <n v="0.05"/>
    <n v="279.99"/>
    <n v="5319.85"/>
    <n v="425.59"/>
    <n v="5745.44"/>
    <x v="1"/>
  </r>
  <r>
    <s v="TXN-00568"/>
    <x v="349"/>
    <x v="2"/>
    <s v="C010"/>
    <s v="Jade Innovations"/>
    <x v="2"/>
    <s v="San Francisco"/>
    <s v="PRD-001"/>
    <x v="5"/>
    <x v="1"/>
    <s v="Bob Chen"/>
    <x v="1"/>
    <n v="24"/>
    <n v="1199.99"/>
    <n v="28799.759999999998"/>
    <n v="0.16"/>
    <n v="4607.96"/>
    <n v="24191.8"/>
    <n v="1935.34"/>
    <n v="26127.14"/>
    <x v="1"/>
  </r>
  <r>
    <s v="TXN-00414"/>
    <x v="350"/>
    <x v="2"/>
    <s v="C015"/>
    <s v="Orbit Industries"/>
    <x v="1"/>
    <s v="Houston"/>
    <s v="PRD-011"/>
    <x v="7"/>
    <x v="1"/>
    <s v="Carol Davis"/>
    <x v="2"/>
    <n v="8"/>
    <n v="249.99"/>
    <n v="1999.92"/>
    <n v="0"/>
    <n v="0"/>
    <n v="1999.92"/>
    <n v="159.99"/>
    <n v="0"/>
    <x v="0"/>
  </r>
  <r>
    <s v="TXN-00536"/>
    <x v="350"/>
    <x v="2"/>
    <s v="C003"/>
    <s v="Crestview Ltd"/>
    <x v="3"/>
    <s v="Boston"/>
    <s v="PRD-008"/>
    <x v="12"/>
    <x v="1"/>
    <s v="Alice Morgan"/>
    <x v="0"/>
    <n v="26"/>
    <n v="399.99"/>
    <n v="10399.74"/>
    <n v="0.08"/>
    <n v="831.98"/>
    <n v="9567.76"/>
    <n v="765.42"/>
    <n v="10333.18"/>
    <x v="1"/>
  </r>
  <r>
    <s v="TXN-00429"/>
    <x v="351"/>
    <x v="2"/>
    <s v="C003"/>
    <s v="Crestview Ltd"/>
    <x v="3"/>
    <s v="Boston"/>
    <s v="PRD-002"/>
    <x v="9"/>
    <x v="1"/>
    <s v="Eva Patel"/>
    <x v="1"/>
    <n v="5"/>
    <n v="29.99"/>
    <n v="149.94999999999999"/>
    <n v="0.08"/>
    <n v="12"/>
    <n v="137.94999999999999"/>
    <n v="11.04"/>
    <n v="0"/>
    <x v="0"/>
  </r>
  <r>
    <s v="TXN-00565"/>
    <x v="352"/>
    <x v="2"/>
    <s v="C002"/>
    <s v="Blue Ridge Corp"/>
    <x v="1"/>
    <s v="Atlanta"/>
    <s v="PRD-014"/>
    <x v="10"/>
    <x v="1"/>
    <s v="David Kim"/>
    <x v="4"/>
    <n v="3"/>
    <n v="479.99"/>
    <n v="1439.97"/>
    <n v="0"/>
    <n v="0"/>
    <n v="1439.97"/>
    <n v="115.2"/>
    <n v="1555.17"/>
    <x v="1"/>
  </r>
  <r>
    <s v="TXN-00436"/>
    <x v="353"/>
    <x v="2"/>
    <s v="C013"/>
    <s v="Maverick Systems"/>
    <x v="0"/>
    <s v="Minneapolis"/>
    <s v="PRD-004"/>
    <x v="8"/>
    <x v="2"/>
    <s v="Alice Morgan"/>
    <x v="4"/>
    <n v="10"/>
    <n v="349.99"/>
    <n v="3499.9"/>
    <n v="0.05"/>
    <n v="175"/>
    <n v="3324.9"/>
    <n v="265.99"/>
    <n v="0"/>
    <x v="0"/>
  </r>
  <r>
    <s v="TXN-00542"/>
    <x v="354"/>
    <x v="2"/>
    <s v="C014"/>
    <s v="Nexus Trading"/>
    <x v="2"/>
    <s v="Denver"/>
    <s v="PRD-006"/>
    <x v="0"/>
    <x v="0"/>
    <s v="Alice Morgan"/>
    <x v="1"/>
    <n v="25"/>
    <n v="8.99"/>
    <n v="224.75"/>
    <n v="0.16"/>
    <n v="35.96"/>
    <n v="188.79"/>
    <n v="15.1"/>
    <n v="203.89"/>
    <x v="1"/>
  </r>
  <r>
    <s v="TXN-00584"/>
    <x v="355"/>
    <x v="2"/>
    <s v="C010"/>
    <s v="Jade Innovations"/>
    <x v="2"/>
    <s v="San Francisco"/>
    <s v="PRD-007"/>
    <x v="13"/>
    <x v="1"/>
    <s v="Alice Morgan"/>
    <x v="2"/>
    <n v="14"/>
    <n v="129.99"/>
    <n v="1819.86"/>
    <n v="0.05"/>
    <n v="90.99"/>
    <n v="1728.87"/>
    <n v="138.31"/>
    <n v="1867.18"/>
    <x v="2"/>
  </r>
  <r>
    <s v="TXN-00484"/>
    <x v="356"/>
    <x v="2"/>
    <s v="C010"/>
    <s v="Jade Innovations"/>
    <x v="2"/>
    <s v="San Francisco"/>
    <s v="PRD-011"/>
    <x v="7"/>
    <x v="1"/>
    <s v="David Kim"/>
    <x v="3"/>
    <n v="10"/>
    <n v="249.99"/>
    <n v="2499.9"/>
    <n v="0.05"/>
    <n v="125"/>
    <n v="2374.9"/>
    <n v="189.99"/>
    <n v="0"/>
    <x v="0"/>
  </r>
  <r>
    <s v="TXN-00468"/>
    <x v="357"/>
    <x v="2"/>
    <s v="C003"/>
    <s v="Crestview Ltd"/>
    <x v="3"/>
    <s v="Boston"/>
    <s v="PRD-009"/>
    <x v="2"/>
    <x v="2"/>
    <s v="Bob Chen"/>
    <x v="4"/>
    <n v="17"/>
    <n v="39.99"/>
    <n v="679.83"/>
    <n v="0.05"/>
    <n v="33.99"/>
    <n v="645.84"/>
    <n v="51.67"/>
    <n v="0"/>
    <x v="0"/>
  </r>
  <r>
    <s v="TXN-00524"/>
    <x v="358"/>
    <x v="2"/>
    <s v="C006"/>
    <s v="Foxfire Inc"/>
    <x v="1"/>
    <s v="Miami"/>
    <s v="PRD-003"/>
    <x v="14"/>
    <x v="1"/>
    <s v="Carol Davis"/>
    <x v="4"/>
    <n v="4"/>
    <n v="49.99"/>
    <n v="199.96"/>
    <n v="0"/>
    <n v="0"/>
    <n v="199.96"/>
    <n v="16"/>
    <n v="215.96"/>
    <x v="1"/>
  </r>
  <r>
    <s v="TXN-00541"/>
    <x v="358"/>
    <x v="2"/>
    <s v="C014"/>
    <s v="Nexus Trading"/>
    <x v="2"/>
    <s v="Denver"/>
    <s v="PRD-012"/>
    <x v="6"/>
    <x v="0"/>
    <s v="Bob Chen"/>
    <x v="2"/>
    <n v="15"/>
    <n v="5.99"/>
    <n v="89.85"/>
    <n v="0.05"/>
    <n v="4.49"/>
    <n v="85.36"/>
    <n v="6.83"/>
    <n v="92.19"/>
    <x v="1"/>
  </r>
  <r>
    <s v="TXN-00546"/>
    <x v="359"/>
    <x v="2"/>
    <s v="C003"/>
    <s v="Crestview Ltd"/>
    <x v="3"/>
    <s v="Boston"/>
    <s v="PRD-009"/>
    <x v="2"/>
    <x v="2"/>
    <s v="Carol Davis"/>
    <x v="2"/>
    <n v="19"/>
    <n v="39.99"/>
    <n v="759.81"/>
    <n v="0.05"/>
    <n v="37.99"/>
    <n v="721.82"/>
    <n v="57.75"/>
    <n v="779.57"/>
    <x v="1"/>
  </r>
  <r>
    <s v="TXN-00588"/>
    <x v="360"/>
    <x v="2"/>
    <s v="C013"/>
    <s v="Maverick Systems"/>
    <x v="0"/>
    <s v="Minneapolis"/>
    <s v="PRD-009"/>
    <x v="2"/>
    <x v="2"/>
    <s v="Carol Davis"/>
    <x v="4"/>
    <n v="5"/>
    <n v="39.99"/>
    <n v="199.95"/>
    <n v="0"/>
    <n v="0"/>
    <n v="199.95"/>
    <n v="16"/>
    <n v="215.95"/>
    <x v="1"/>
  </r>
  <r>
    <s v="TXN-00487"/>
    <x v="361"/>
    <x v="2"/>
    <s v="C001"/>
    <s v="Apex Solutions"/>
    <x v="0"/>
    <s v="New York"/>
    <s v="PRD-002"/>
    <x v="9"/>
    <x v="1"/>
    <s v="Carol Davis"/>
    <x v="1"/>
    <n v="25"/>
    <n v="29.99"/>
    <n v="749.75"/>
    <n v="0.16"/>
    <n v="119.96"/>
    <n v="629.79"/>
    <n v="50.38"/>
    <n v="680.17"/>
    <x v="1"/>
  </r>
  <r>
    <s v="TXN-00559"/>
    <x v="362"/>
    <x v="2"/>
    <s v="C012"/>
    <s v="Luminary Co"/>
    <x v="1"/>
    <s v="Dallas"/>
    <s v="PRD-004"/>
    <x v="8"/>
    <x v="2"/>
    <s v="Bob Chen"/>
    <x v="2"/>
    <n v="28"/>
    <n v="349.99"/>
    <n v="9799.7199999999993"/>
    <n v="0.08"/>
    <n v="783.98"/>
    <n v="9015.74"/>
    <n v="721.26"/>
    <n v="9737"/>
    <x v="1"/>
  </r>
  <r>
    <s v="TXN-00551"/>
    <x v="363"/>
    <x v="2"/>
    <s v="C015"/>
    <s v="Orbit Industries"/>
    <x v="1"/>
    <s v="Houston"/>
    <s v="PRD-013"/>
    <x v="4"/>
    <x v="2"/>
    <s v="Alice Morgan"/>
    <x v="1"/>
    <n v="24"/>
    <n v="229.99"/>
    <n v="5519.76"/>
    <n v="0.16"/>
    <n v="883.16"/>
    <n v="4636.6000000000004"/>
    <n v="370.93"/>
    <n v="0"/>
    <x v="0"/>
  </r>
  <r>
    <s v="TXN-00451"/>
    <x v="364"/>
    <x v="2"/>
    <s v="C007"/>
    <s v="Global Dynamics"/>
    <x v="3"/>
    <s v="Philadelphia"/>
    <s v="PRD-004"/>
    <x v="8"/>
    <x v="2"/>
    <s v="Bob Chen"/>
    <x v="0"/>
    <n v="25"/>
    <n v="349.99"/>
    <n v="8749.75"/>
    <n v="0.08"/>
    <n v="699.98"/>
    <n v="8049.77"/>
    <n v="643.98"/>
    <n v="8693.75"/>
    <x v="1"/>
  </r>
  <r>
    <s v="TXN-00555"/>
    <x v="365"/>
    <x v="2"/>
    <s v="C004"/>
    <s v="Delta Enterprises"/>
    <x v="2"/>
    <s v="Los Angeles"/>
    <s v="PRD-014"/>
    <x v="10"/>
    <x v="1"/>
    <s v="David Kim"/>
    <x v="2"/>
    <n v="27"/>
    <n v="479.99"/>
    <n v="12959.73"/>
    <n v="0.08"/>
    <n v="1036.78"/>
    <n v="11922.95"/>
    <n v="953.84"/>
    <n v="12876.79"/>
    <x v="1"/>
  </r>
  <r>
    <s v="TXN-00532"/>
    <x v="366"/>
    <x v="2"/>
    <s v="C011"/>
    <s v="Keystone Ventures"/>
    <x v="3"/>
    <s v="Washington DC"/>
    <s v="PRD-015"/>
    <x v="11"/>
    <x v="0"/>
    <s v="Bob Chen"/>
    <x v="0"/>
    <n v="16"/>
    <n v="79.989999999999995"/>
    <n v="1279.8399999999999"/>
    <n v="0.05"/>
    <n v="63.99"/>
    <n v="1215.8499999999999"/>
    <n v="97.27"/>
    <n v="1313.12"/>
    <x v="1"/>
  </r>
  <r>
    <s v="TXN-00503"/>
    <x v="367"/>
    <x v="2"/>
    <s v="C012"/>
    <s v="Luminary Co"/>
    <x v="1"/>
    <s v="Dallas"/>
    <s v="PRD-001"/>
    <x v="5"/>
    <x v="1"/>
    <s v="David Kim"/>
    <x v="4"/>
    <n v="26"/>
    <n v="1199.99"/>
    <n v="31199.74"/>
    <n v="0.08"/>
    <n v="2495.98"/>
    <n v="28703.759999999998"/>
    <n v="2296.3000000000002"/>
    <n v="31000.06"/>
    <x v="1"/>
  </r>
  <r>
    <s v="TXN-00527"/>
    <x v="368"/>
    <x v="2"/>
    <s v="C008"/>
    <s v="Horizon Group"/>
    <x v="2"/>
    <s v="Seattle"/>
    <s v="PRD-014"/>
    <x v="10"/>
    <x v="1"/>
    <s v="Eva Patel"/>
    <x v="4"/>
    <n v="23"/>
    <n v="479.99"/>
    <n v="11039.77"/>
    <n v="0.08"/>
    <n v="883.18"/>
    <n v="10156.59"/>
    <n v="812.53"/>
    <n v="10969.12"/>
    <x v="2"/>
  </r>
  <r>
    <s v="TXN-00566"/>
    <x v="369"/>
    <x v="2"/>
    <s v="C002"/>
    <s v="Blue Ridge Corp"/>
    <x v="1"/>
    <s v="Atlanta"/>
    <s v="PRD-007"/>
    <x v="13"/>
    <x v="1"/>
    <s v="Alice Morgan"/>
    <x v="3"/>
    <n v="12"/>
    <n v="129.99"/>
    <n v="1559.88"/>
    <n v="0.05"/>
    <n v="77.989999999999995"/>
    <n v="1481.89"/>
    <n v="118.55"/>
    <n v="1600.44"/>
    <x v="1"/>
  </r>
  <r>
    <s v="TXN-00573"/>
    <x v="370"/>
    <x v="2"/>
    <s v="C010"/>
    <s v="Jade Innovations"/>
    <x v="2"/>
    <s v="San Francisco"/>
    <s v="PRD-012"/>
    <x v="6"/>
    <x v="0"/>
    <s v="Carol Davis"/>
    <x v="3"/>
    <n v="29"/>
    <n v="5.99"/>
    <n v="173.71"/>
    <n v="0.08"/>
    <n v="13.9"/>
    <n v="159.81"/>
    <n v="12.78"/>
    <n v="172.59"/>
    <x v="2"/>
  </r>
  <r>
    <s v="TXN-00561"/>
    <x v="371"/>
    <x v="2"/>
    <s v="C011"/>
    <s v="Keystone Ventures"/>
    <x v="3"/>
    <s v="Washington DC"/>
    <s v="PRD-015"/>
    <x v="11"/>
    <x v="0"/>
    <s v="Bob Chen"/>
    <x v="3"/>
    <n v="21"/>
    <n v="79.989999999999995"/>
    <n v="1679.79"/>
    <n v="0.08"/>
    <n v="134.38"/>
    <n v="1545.41"/>
    <n v="123.63"/>
    <n v="1669.04"/>
    <x v="1"/>
  </r>
  <r>
    <s v="TXN-00599"/>
    <x v="372"/>
    <x v="2"/>
    <s v="C007"/>
    <s v="Global Dynamics"/>
    <x v="3"/>
    <s v="Philadelphia"/>
    <s v="PRD-001"/>
    <x v="5"/>
    <x v="1"/>
    <s v="Alice Morgan"/>
    <x v="1"/>
    <n v="25"/>
    <n v="1199.99"/>
    <n v="29999.75"/>
    <n v="0.16"/>
    <n v="4799.96"/>
    <n v="25199.79"/>
    <n v="2015.98"/>
    <n v="27215.77"/>
    <x v="1"/>
  </r>
  <r>
    <s v="TXN-00528"/>
    <x v="373"/>
    <x v="2"/>
    <s v="C010"/>
    <s v="Jade Innovations"/>
    <x v="2"/>
    <s v="San Francisco"/>
    <s v="PRD-015"/>
    <x v="11"/>
    <x v="0"/>
    <s v="Eva Patel"/>
    <x v="3"/>
    <n v="5"/>
    <n v="79.989999999999995"/>
    <n v="399.95"/>
    <n v="0"/>
    <n v="0"/>
    <n v="399.95"/>
    <n v="32"/>
    <n v="431.95"/>
    <x v="2"/>
  </r>
  <r>
    <s v="TXN-00596"/>
    <x v="374"/>
    <x v="2"/>
    <s v="C004"/>
    <s v="Delta Enterprises"/>
    <x v="2"/>
    <s v="Los Angeles"/>
    <s v="PRD-007"/>
    <x v="13"/>
    <x v="1"/>
    <s v="Carol Davis"/>
    <x v="4"/>
    <n v="30"/>
    <n v="129.99"/>
    <n v="3899.7"/>
    <n v="0.08"/>
    <n v="311.98"/>
    <n v="3587.72"/>
    <n v="287.02"/>
    <n v="3874.74"/>
    <x v="1"/>
  </r>
  <r>
    <s v="TXN-00498"/>
    <x v="375"/>
    <x v="2"/>
    <s v="C006"/>
    <s v="Foxfire Inc"/>
    <x v="1"/>
    <s v="Miami"/>
    <s v="PRD-008"/>
    <x v="12"/>
    <x v="1"/>
    <s v="David Kim"/>
    <x v="0"/>
    <n v="10"/>
    <n v="399.99"/>
    <n v="3999.9"/>
    <n v="0.05"/>
    <n v="200"/>
    <n v="3799.9"/>
    <n v="303.99"/>
    <n v="4103.8900000000003"/>
    <x v="1"/>
  </r>
  <r>
    <s v="TXN-00583"/>
    <x v="376"/>
    <x v="2"/>
    <s v="C002"/>
    <s v="Blue Ridge Corp"/>
    <x v="1"/>
    <s v="Atlanta"/>
    <s v="PRD-005"/>
    <x v="3"/>
    <x v="2"/>
    <s v="Eva Patel"/>
    <x v="4"/>
    <n v="18"/>
    <n v="599.99"/>
    <n v="10799.82"/>
    <n v="0.05"/>
    <n v="539.99"/>
    <n v="10259.83"/>
    <n v="820.79"/>
    <n v="11080.62"/>
    <x v="1"/>
  </r>
  <r>
    <s v="TXN-00497"/>
    <x v="377"/>
    <x v="2"/>
    <s v="C001"/>
    <s v="Apex Solutions"/>
    <x v="0"/>
    <s v="New York"/>
    <s v="PRD-005"/>
    <x v="3"/>
    <x v="2"/>
    <s v="David Kim"/>
    <x v="2"/>
    <n v="13"/>
    <n v="599.99"/>
    <n v="7799.87"/>
    <n v="0.05"/>
    <n v="389.99"/>
    <n v="7409.88"/>
    <n v="592.79"/>
    <n v="0"/>
    <x v="0"/>
  </r>
  <r>
    <s v="TXN-00564"/>
    <x v="378"/>
    <x v="2"/>
    <s v="C009"/>
    <s v="Ironclad Partners"/>
    <x v="0"/>
    <s v="Detroit"/>
    <s v="PRD-004"/>
    <x v="8"/>
    <x v="2"/>
    <s v="David Kim"/>
    <x v="3"/>
    <n v="23"/>
    <n v="349.99"/>
    <n v="8049.77"/>
    <n v="0.08"/>
    <n v="643.98"/>
    <n v="7405.79"/>
    <n v="592.46"/>
    <n v="7998.25"/>
    <x v="1"/>
  </r>
  <r>
    <s v="TXN-00424"/>
    <x v="379"/>
    <x v="2"/>
    <s v="C004"/>
    <s v="Delta Enterprises"/>
    <x v="2"/>
    <s v="Los Angeles"/>
    <s v="PRD-012"/>
    <x v="6"/>
    <x v="0"/>
    <s v="Eva Patel"/>
    <x v="3"/>
    <n v="14"/>
    <n v="5.99"/>
    <n v="83.86"/>
    <n v="0.05"/>
    <n v="4.1900000000000004"/>
    <n v="79.67"/>
    <n v="6.37"/>
    <n v="86.04"/>
    <x v="1"/>
  </r>
  <r>
    <s v="TXN-00431"/>
    <x v="380"/>
    <x v="2"/>
    <s v="C009"/>
    <s v="Ironclad Partners"/>
    <x v="0"/>
    <s v="Detroit"/>
    <s v="PRD-007"/>
    <x v="13"/>
    <x v="1"/>
    <s v="David Kim"/>
    <x v="4"/>
    <n v="15"/>
    <n v="129.99"/>
    <n v="1949.85"/>
    <n v="0.05"/>
    <n v="97.49"/>
    <n v="1852.36"/>
    <n v="148.19"/>
    <n v="2000.55"/>
    <x v="1"/>
  </r>
  <r>
    <s v="TXN-00428"/>
    <x v="381"/>
    <x v="2"/>
    <s v="C002"/>
    <s v="Blue Ridge Corp"/>
    <x v="1"/>
    <s v="Atlanta"/>
    <s v="PRD-007"/>
    <x v="13"/>
    <x v="1"/>
    <s v="Eva Patel"/>
    <x v="4"/>
    <n v="28"/>
    <n v="129.99"/>
    <n v="3639.72"/>
    <n v="0.08"/>
    <n v="291.18"/>
    <n v="3348.54"/>
    <n v="267.88"/>
    <n v="3616.42"/>
    <x v="2"/>
  </r>
  <r>
    <s v="TXN-00459"/>
    <x v="382"/>
    <x v="2"/>
    <s v="C008"/>
    <s v="Horizon Group"/>
    <x v="2"/>
    <s v="Seattle"/>
    <s v="PRD-012"/>
    <x v="6"/>
    <x v="0"/>
    <s v="David Kim"/>
    <x v="4"/>
    <n v="26"/>
    <n v="5.99"/>
    <n v="155.74"/>
    <n v="0.08"/>
    <n v="12.46"/>
    <n v="143.28"/>
    <n v="11.46"/>
    <n v="154.74"/>
    <x v="2"/>
  </r>
  <r>
    <s v="TXN-00526"/>
    <x v="382"/>
    <x v="2"/>
    <s v="C010"/>
    <s v="Jade Innovations"/>
    <x v="2"/>
    <s v="San Francisco"/>
    <s v="PRD-007"/>
    <x v="13"/>
    <x v="1"/>
    <s v="David Kim"/>
    <x v="0"/>
    <n v="12"/>
    <n v="129.99"/>
    <n v="1559.88"/>
    <n v="0.05"/>
    <n v="77.989999999999995"/>
    <n v="1481.89"/>
    <n v="118.55"/>
    <n v="1600.44"/>
    <x v="1"/>
  </r>
  <r>
    <s v="TXN-00489"/>
    <x v="383"/>
    <x v="2"/>
    <s v="C009"/>
    <s v="Ironclad Partners"/>
    <x v="0"/>
    <s v="Detroit"/>
    <s v="PRD-009"/>
    <x v="2"/>
    <x v="2"/>
    <s v="David Kim"/>
    <x v="3"/>
    <n v="3"/>
    <n v="39.99"/>
    <n v="119.97"/>
    <n v="0"/>
    <n v="0"/>
    <n v="119.97"/>
    <n v="9.6"/>
    <n v="129.57"/>
    <x v="1"/>
  </r>
  <r>
    <s v="TXN-00533"/>
    <x v="384"/>
    <x v="2"/>
    <s v="C003"/>
    <s v="Crestview Ltd"/>
    <x v="3"/>
    <s v="Boston"/>
    <s v="PRD-003"/>
    <x v="14"/>
    <x v="1"/>
    <s v="Carol Davis"/>
    <x v="1"/>
    <n v="2"/>
    <n v="49.99"/>
    <n v="99.98"/>
    <n v="0.08"/>
    <n v="8"/>
    <n v="91.98"/>
    <n v="7.36"/>
    <n v="0"/>
    <x v="0"/>
  </r>
  <r>
    <s v="TXN-00452"/>
    <x v="385"/>
    <x v="2"/>
    <s v="C008"/>
    <s v="Horizon Group"/>
    <x v="2"/>
    <s v="Seattle"/>
    <s v="PRD-007"/>
    <x v="13"/>
    <x v="1"/>
    <s v="Eva Patel"/>
    <x v="2"/>
    <n v="9"/>
    <n v="129.99"/>
    <n v="1169.9100000000001"/>
    <n v="0"/>
    <n v="0"/>
    <n v="1169.9100000000001"/>
    <n v="93.59"/>
    <n v="1263.5"/>
    <x v="1"/>
  </r>
  <r>
    <s v="TXN-00507"/>
    <x v="385"/>
    <x v="2"/>
    <s v="C009"/>
    <s v="Ironclad Partners"/>
    <x v="0"/>
    <s v="Detroit"/>
    <s v="PRD-007"/>
    <x v="13"/>
    <x v="1"/>
    <s v="Eva Patel"/>
    <x v="1"/>
    <n v="2"/>
    <n v="129.99"/>
    <n v="259.98"/>
    <n v="0.08"/>
    <n v="20.8"/>
    <n v="239.18"/>
    <n v="19.13"/>
    <n v="0"/>
    <x v="0"/>
  </r>
  <r>
    <s v="TXN-00594"/>
    <x v="386"/>
    <x v="2"/>
    <s v="C014"/>
    <s v="Nexus Trading"/>
    <x v="2"/>
    <s v="Denver"/>
    <s v="PRD-001"/>
    <x v="5"/>
    <x v="1"/>
    <s v="Alice Morgan"/>
    <x v="4"/>
    <n v="16"/>
    <n v="1199.99"/>
    <n v="19199.84"/>
    <n v="0.05"/>
    <n v="959.99"/>
    <n v="18239.849999999999"/>
    <n v="1459.19"/>
    <n v="19699.04"/>
    <x v="1"/>
  </r>
  <r>
    <s v="TXN-00415"/>
    <x v="387"/>
    <x v="2"/>
    <s v="C008"/>
    <s v="Horizon Group"/>
    <x v="2"/>
    <s v="Seattle"/>
    <s v="PRD-003"/>
    <x v="14"/>
    <x v="1"/>
    <s v="Bob Chen"/>
    <x v="1"/>
    <n v="20"/>
    <n v="49.99"/>
    <n v="999.8"/>
    <n v="0.16"/>
    <n v="159.97"/>
    <n v="839.83"/>
    <n v="67.19"/>
    <n v="907.02"/>
    <x v="2"/>
  </r>
  <r>
    <s v="TXN-00500"/>
    <x v="388"/>
    <x v="2"/>
    <s v="C005"/>
    <s v="Eagle Tech"/>
    <x v="0"/>
    <s v="Chicago"/>
    <s v="PRD-006"/>
    <x v="0"/>
    <x v="0"/>
    <s v="David Kim"/>
    <x v="0"/>
    <n v="11"/>
    <n v="8.99"/>
    <n v="98.89"/>
    <n v="0.05"/>
    <n v="4.9400000000000004"/>
    <n v="93.95"/>
    <n v="7.52"/>
    <n v="101.47"/>
    <x v="1"/>
  </r>
  <r>
    <s v="TXN-00427"/>
    <x v="389"/>
    <x v="2"/>
    <s v="C011"/>
    <s v="Keystone Ventures"/>
    <x v="3"/>
    <s v="Washington DC"/>
    <s v="PRD-012"/>
    <x v="6"/>
    <x v="0"/>
    <s v="David Kim"/>
    <x v="2"/>
    <n v="15"/>
    <n v="5.99"/>
    <n v="89.85"/>
    <n v="0.05"/>
    <n v="4.49"/>
    <n v="85.36"/>
    <n v="6.83"/>
    <n v="92.19"/>
    <x v="1"/>
  </r>
  <r>
    <s v="TXN-00471"/>
    <x v="389"/>
    <x v="2"/>
    <s v="C014"/>
    <s v="Nexus Trading"/>
    <x v="2"/>
    <s v="Denver"/>
    <s v="PRD-011"/>
    <x v="7"/>
    <x v="1"/>
    <s v="Alice Morgan"/>
    <x v="3"/>
    <n v="13"/>
    <n v="249.99"/>
    <n v="3249.87"/>
    <n v="0.05"/>
    <n v="162.49"/>
    <n v="3087.38"/>
    <n v="246.99"/>
    <n v="3334.37"/>
    <x v="1"/>
  </r>
  <r>
    <s v="TXN-00492"/>
    <x v="390"/>
    <x v="2"/>
    <s v="C004"/>
    <s v="Delta Enterprises"/>
    <x v="2"/>
    <s v="Los Angeles"/>
    <s v="PRD-015"/>
    <x v="11"/>
    <x v="0"/>
    <s v="Eva Patel"/>
    <x v="0"/>
    <n v="22"/>
    <n v="79.989999999999995"/>
    <n v="1759.78"/>
    <n v="0.08"/>
    <n v="140.78"/>
    <n v="1619"/>
    <n v="129.52000000000001"/>
    <n v="1748.52"/>
    <x v="1"/>
  </r>
  <r>
    <s v="TXN-00490"/>
    <x v="391"/>
    <x v="2"/>
    <s v="C002"/>
    <s v="Blue Ridge Corp"/>
    <x v="1"/>
    <s v="Atlanta"/>
    <s v="PRD-009"/>
    <x v="2"/>
    <x v="2"/>
    <s v="Eva Patel"/>
    <x v="0"/>
    <n v="28"/>
    <n v="39.99"/>
    <n v="1119.72"/>
    <n v="0.08"/>
    <n v="89.58"/>
    <n v="1030.1400000000001"/>
    <n v="82.41"/>
    <n v="1112.55"/>
    <x v="1"/>
  </r>
  <r>
    <s v="TXN-00512"/>
    <x v="392"/>
    <x v="2"/>
    <s v="C012"/>
    <s v="Luminary Co"/>
    <x v="1"/>
    <s v="Dallas"/>
    <s v="PRD-010"/>
    <x v="1"/>
    <x v="1"/>
    <s v="Eva Patel"/>
    <x v="4"/>
    <n v="12"/>
    <n v="89.99"/>
    <n v="1079.8800000000001"/>
    <n v="0.05"/>
    <n v="53.99"/>
    <n v="1025.8900000000001"/>
    <n v="82.07"/>
    <n v="1107.96"/>
    <x v="1"/>
  </r>
  <r>
    <s v="TXN-00574"/>
    <x v="392"/>
    <x v="2"/>
    <s v="C009"/>
    <s v="Ironclad Partners"/>
    <x v="0"/>
    <s v="Detroit"/>
    <s v="PRD-004"/>
    <x v="8"/>
    <x v="2"/>
    <s v="Eva Patel"/>
    <x v="0"/>
    <n v="24"/>
    <n v="349.99"/>
    <n v="8399.76"/>
    <n v="0.08"/>
    <n v="671.98"/>
    <n v="7727.78"/>
    <n v="618.22"/>
    <n v="8346"/>
    <x v="1"/>
  </r>
  <r>
    <s v="TXN-00499"/>
    <x v="393"/>
    <x v="2"/>
    <s v="C012"/>
    <s v="Luminary Co"/>
    <x v="1"/>
    <s v="Dallas"/>
    <s v="PRD-010"/>
    <x v="1"/>
    <x v="1"/>
    <s v="Bob Chen"/>
    <x v="1"/>
    <n v="6"/>
    <n v="89.99"/>
    <n v="539.94000000000005"/>
    <n v="0.08"/>
    <n v="43.2"/>
    <n v="496.74"/>
    <n v="39.74"/>
    <n v="536.48"/>
    <x v="1"/>
  </r>
  <r>
    <s v="TXN-00469"/>
    <x v="394"/>
    <x v="2"/>
    <s v="C006"/>
    <s v="Foxfire Inc"/>
    <x v="1"/>
    <s v="Miami"/>
    <s v="PRD-014"/>
    <x v="10"/>
    <x v="1"/>
    <s v="Carol Davis"/>
    <x v="1"/>
    <n v="12"/>
    <n v="479.99"/>
    <n v="5759.88"/>
    <n v="0.13"/>
    <n v="748.78"/>
    <n v="5011.1000000000004"/>
    <n v="400.89"/>
    <n v="5411.99"/>
    <x v="1"/>
  </r>
  <r>
    <s v="TXN-00454"/>
    <x v="395"/>
    <x v="2"/>
    <s v="C014"/>
    <s v="Nexus Trading"/>
    <x v="2"/>
    <s v="Denver"/>
    <s v="PRD-013"/>
    <x v="4"/>
    <x v="2"/>
    <s v="Carol Davis"/>
    <x v="4"/>
    <n v="11"/>
    <n v="229.99"/>
    <n v="2529.89"/>
    <n v="0.05"/>
    <n v="126.49"/>
    <n v="2403.4"/>
    <n v="192.27"/>
    <n v="2595.67"/>
    <x v="1"/>
  </r>
  <r>
    <s v="TXN-00441"/>
    <x v="396"/>
    <x v="2"/>
    <s v="C011"/>
    <s v="Keystone Ventures"/>
    <x v="3"/>
    <s v="Washington DC"/>
    <s v="PRD-006"/>
    <x v="0"/>
    <x v="0"/>
    <s v="David Kim"/>
    <x v="0"/>
    <n v="23"/>
    <n v="8.99"/>
    <n v="206.77"/>
    <n v="0.08"/>
    <n v="16.54"/>
    <n v="190.23"/>
    <n v="15.22"/>
    <n v="205.45"/>
    <x v="1"/>
  </r>
  <r>
    <s v="TXN-00505"/>
    <x v="397"/>
    <x v="2"/>
    <s v="C005"/>
    <s v="Eagle Tech"/>
    <x v="0"/>
    <s v="Chicago"/>
    <s v="PRD-011"/>
    <x v="7"/>
    <x v="1"/>
    <s v="Bob Chen"/>
    <x v="2"/>
    <n v="5"/>
    <n v="249.99"/>
    <n v="1249.95"/>
    <n v="0"/>
    <n v="0"/>
    <n v="1249.95"/>
    <n v="100"/>
    <n v="1349.95"/>
    <x v="2"/>
  </r>
  <r>
    <s v="TXN-00554"/>
    <x v="398"/>
    <x v="2"/>
    <s v="C014"/>
    <s v="Nexus Trading"/>
    <x v="2"/>
    <s v="Denver"/>
    <s v="PRD-006"/>
    <x v="0"/>
    <x v="0"/>
    <s v="Alice Morgan"/>
    <x v="0"/>
    <n v="7"/>
    <n v="8.99"/>
    <n v="62.93"/>
    <n v="0"/>
    <n v="0"/>
    <n v="62.93"/>
    <n v="5.03"/>
    <n v="67.959999999999994"/>
    <x v="1"/>
  </r>
  <r>
    <s v="TXN-00558"/>
    <x v="398"/>
    <x v="2"/>
    <s v="C002"/>
    <s v="Blue Ridge Corp"/>
    <x v="1"/>
    <s v="Atlanta"/>
    <s v="PRD-001"/>
    <x v="5"/>
    <x v="1"/>
    <s v="Bob Chen"/>
    <x v="1"/>
    <n v="1"/>
    <n v="1199.99"/>
    <n v="1199.99"/>
    <n v="0.08"/>
    <n v="96"/>
    <n v="1103.99"/>
    <n v="88.32"/>
    <n v="1192.31"/>
    <x v="1"/>
  </r>
  <r>
    <s v="TXN-00589"/>
    <x v="398"/>
    <x v="2"/>
    <s v="C015"/>
    <s v="Orbit Industries"/>
    <x v="1"/>
    <s v="Houston"/>
    <s v="PRD-012"/>
    <x v="6"/>
    <x v="0"/>
    <s v="Alice Morgan"/>
    <x v="3"/>
    <n v="26"/>
    <n v="5.99"/>
    <n v="155.74"/>
    <n v="0.08"/>
    <n v="12.46"/>
    <n v="143.28"/>
    <n v="11.46"/>
    <n v="154.74"/>
    <x v="1"/>
  </r>
  <r>
    <s v="TXN-00569"/>
    <x v="399"/>
    <x v="2"/>
    <s v="C012"/>
    <s v="Luminary Co"/>
    <x v="1"/>
    <s v="Dallas"/>
    <s v="PRD-011"/>
    <x v="7"/>
    <x v="1"/>
    <s v="Bob Chen"/>
    <x v="1"/>
    <n v="22"/>
    <n v="249.99"/>
    <n v="5499.78"/>
    <n v="0.16"/>
    <n v="879.96"/>
    <n v="4619.82"/>
    <n v="369.59"/>
    <n v="0"/>
    <x v="0"/>
  </r>
  <r>
    <s v="TXN-00535"/>
    <x v="400"/>
    <x v="2"/>
    <s v="C008"/>
    <s v="Horizon Group"/>
    <x v="2"/>
    <s v="Seattle"/>
    <s v="PRD-011"/>
    <x v="7"/>
    <x v="1"/>
    <s v="David Kim"/>
    <x v="1"/>
    <n v="23"/>
    <n v="249.99"/>
    <n v="5749.77"/>
    <n v="0.16"/>
    <n v="919.96"/>
    <n v="4829.8100000000004"/>
    <n v="386.38"/>
    <n v="5216.1899999999996"/>
    <x v="1"/>
  </r>
  <r>
    <s v="TXN-00417"/>
    <x v="401"/>
    <x v="2"/>
    <s v="C004"/>
    <s v="Delta Enterprises"/>
    <x v="2"/>
    <s v="Los Angeles"/>
    <s v="PRD-014"/>
    <x v="10"/>
    <x v="1"/>
    <s v="Bob Chen"/>
    <x v="0"/>
    <n v="17"/>
    <n v="479.99"/>
    <n v="8159.83"/>
    <n v="0.05"/>
    <n v="407.99"/>
    <n v="7751.84"/>
    <n v="620.15"/>
    <n v="8371.99"/>
    <x v="1"/>
  </r>
  <r>
    <s v="TXN-00482"/>
    <x v="402"/>
    <x v="2"/>
    <s v="C007"/>
    <s v="Global Dynamics"/>
    <x v="3"/>
    <s v="Philadelphia"/>
    <s v="PRD-010"/>
    <x v="1"/>
    <x v="1"/>
    <s v="Carol Davis"/>
    <x v="3"/>
    <n v="9"/>
    <n v="89.99"/>
    <n v="809.91"/>
    <n v="0"/>
    <n v="0"/>
    <n v="809.91"/>
    <n v="64.790000000000006"/>
    <n v="874.7"/>
    <x v="2"/>
  </r>
  <r>
    <s v="TXN-00516"/>
    <x v="403"/>
    <x v="2"/>
    <s v="C008"/>
    <s v="Horizon Group"/>
    <x v="2"/>
    <s v="Seattle"/>
    <s v="PRD-006"/>
    <x v="0"/>
    <x v="0"/>
    <s v="Alice Morgan"/>
    <x v="1"/>
    <n v="23"/>
    <n v="8.99"/>
    <n v="206.77"/>
    <n v="0.16"/>
    <n v="33.08"/>
    <n v="173.69"/>
    <n v="13.9"/>
    <n v="187.59"/>
    <x v="2"/>
  </r>
  <r>
    <s v="TXN-00463"/>
    <x v="404"/>
    <x v="2"/>
    <s v="C002"/>
    <s v="Blue Ridge Corp"/>
    <x v="1"/>
    <s v="Atlanta"/>
    <s v="PRD-004"/>
    <x v="8"/>
    <x v="2"/>
    <s v="Bob Chen"/>
    <x v="3"/>
    <n v="17"/>
    <n v="349.99"/>
    <n v="5949.83"/>
    <n v="0.05"/>
    <n v="297.49"/>
    <n v="5652.34"/>
    <n v="452.19"/>
    <n v="6104.53"/>
    <x v="1"/>
  </r>
  <r>
    <s v="TXN-00557"/>
    <x v="405"/>
    <x v="2"/>
    <s v="C006"/>
    <s v="Foxfire Inc"/>
    <x v="1"/>
    <s v="Miami"/>
    <s v="PRD-013"/>
    <x v="4"/>
    <x v="2"/>
    <s v="Alice Morgan"/>
    <x v="3"/>
    <n v="21"/>
    <n v="229.99"/>
    <n v="4829.79"/>
    <n v="0.08"/>
    <n v="386.38"/>
    <n v="4443.41"/>
    <n v="355.47"/>
    <n v="4798.88"/>
    <x v="1"/>
  </r>
  <r>
    <s v="TXN-00519"/>
    <x v="406"/>
    <x v="2"/>
    <s v="C009"/>
    <s v="Ironclad Partners"/>
    <x v="0"/>
    <s v="Detroit"/>
    <s v="PRD-003"/>
    <x v="14"/>
    <x v="1"/>
    <s v="Bob Chen"/>
    <x v="2"/>
    <n v="14"/>
    <n v="49.99"/>
    <n v="699.86"/>
    <n v="0.05"/>
    <n v="34.99"/>
    <n v="664.87"/>
    <n v="53.19"/>
    <n v="0"/>
    <x v="0"/>
  </r>
  <r>
    <s v="TXN-00443"/>
    <x v="407"/>
    <x v="2"/>
    <s v="C004"/>
    <s v="Delta Enterprises"/>
    <x v="2"/>
    <s v="Los Angeles"/>
    <s v="PRD-008"/>
    <x v="12"/>
    <x v="1"/>
    <s v="Bob Chen"/>
    <x v="2"/>
    <n v="5"/>
    <n v="399.99"/>
    <n v="1999.95"/>
    <n v="0"/>
    <n v="0"/>
    <n v="1999.95"/>
    <n v="160"/>
    <n v="2159.9499999999998"/>
    <x v="2"/>
  </r>
  <r>
    <s v="TXN-00453"/>
    <x v="408"/>
    <x v="2"/>
    <s v="C015"/>
    <s v="Orbit Industries"/>
    <x v="1"/>
    <s v="Houston"/>
    <s v="PRD-009"/>
    <x v="2"/>
    <x v="2"/>
    <s v="David Kim"/>
    <x v="1"/>
    <n v="26"/>
    <n v="39.99"/>
    <n v="1039.74"/>
    <n v="0.16"/>
    <n v="166.36"/>
    <n v="873.38"/>
    <n v="69.87"/>
    <n v="943.25"/>
    <x v="1"/>
  </r>
  <r>
    <s v="TXN-00425"/>
    <x v="409"/>
    <x v="2"/>
    <s v="C002"/>
    <s v="Blue Ridge Corp"/>
    <x v="1"/>
    <s v="Atlanta"/>
    <s v="PRD-012"/>
    <x v="6"/>
    <x v="0"/>
    <s v="Eva Patel"/>
    <x v="3"/>
    <n v="30"/>
    <n v="5.99"/>
    <n v="179.7"/>
    <n v="0.08"/>
    <n v="14.38"/>
    <n v="165.32"/>
    <n v="13.23"/>
    <n v="178.55"/>
    <x v="1"/>
  </r>
  <r>
    <s v="TXN-00494"/>
    <x v="410"/>
    <x v="2"/>
    <s v="C003"/>
    <s v="Crestview Ltd"/>
    <x v="3"/>
    <s v="Boston"/>
    <s v="PRD-002"/>
    <x v="9"/>
    <x v="1"/>
    <s v="David Kim"/>
    <x v="2"/>
    <n v="10"/>
    <n v="29.99"/>
    <n v="299.89999999999998"/>
    <n v="0.05"/>
    <n v="14.99"/>
    <n v="284.91000000000003"/>
    <n v="22.79"/>
    <n v="307.7"/>
    <x v="1"/>
  </r>
  <r>
    <s v="TXN-00515"/>
    <x v="410"/>
    <x v="2"/>
    <s v="C005"/>
    <s v="Eagle Tech"/>
    <x v="0"/>
    <s v="Chicago"/>
    <s v="PRD-006"/>
    <x v="0"/>
    <x v="0"/>
    <s v="Carol Davis"/>
    <x v="1"/>
    <n v="17"/>
    <n v="8.99"/>
    <n v="152.83000000000001"/>
    <n v="0.13"/>
    <n v="19.87"/>
    <n v="132.96"/>
    <n v="10.64"/>
    <n v="143.6"/>
    <x v="1"/>
  </r>
  <r>
    <s v="TXN-00556"/>
    <x v="411"/>
    <x v="2"/>
    <s v="C009"/>
    <s v="Ironclad Partners"/>
    <x v="0"/>
    <s v="Detroit"/>
    <s v="PRD-006"/>
    <x v="0"/>
    <x v="0"/>
    <s v="Eva Patel"/>
    <x v="4"/>
    <n v="28"/>
    <n v="8.99"/>
    <n v="251.72"/>
    <n v="0.08"/>
    <n v="20.14"/>
    <n v="231.58"/>
    <n v="18.53"/>
    <n v="0"/>
    <x v="0"/>
  </r>
  <r>
    <s v="TXN-00464"/>
    <x v="412"/>
    <x v="2"/>
    <s v="C001"/>
    <s v="Apex Solutions"/>
    <x v="0"/>
    <s v="New York"/>
    <s v="PRD-006"/>
    <x v="0"/>
    <x v="0"/>
    <s v="Eva Patel"/>
    <x v="0"/>
    <n v="22"/>
    <n v="8.99"/>
    <n v="197.78"/>
    <n v="0.08"/>
    <n v="15.82"/>
    <n v="181.96"/>
    <n v="14.56"/>
    <n v="196.52"/>
    <x v="1"/>
  </r>
  <r>
    <s v="TXN-00591"/>
    <x v="413"/>
    <x v="2"/>
    <s v="C008"/>
    <s v="Horizon Group"/>
    <x v="2"/>
    <s v="Seattle"/>
    <s v="PRD-002"/>
    <x v="9"/>
    <x v="1"/>
    <s v="David Kim"/>
    <x v="0"/>
    <n v="2"/>
    <n v="29.99"/>
    <n v="59.98"/>
    <n v="0"/>
    <n v="0"/>
    <n v="59.98"/>
    <n v="4.8"/>
    <n v="64.78"/>
    <x v="1"/>
  </r>
  <r>
    <s v="TXN-00466"/>
    <x v="414"/>
    <x v="2"/>
    <s v="C012"/>
    <s v="Luminary Co"/>
    <x v="1"/>
    <s v="Dallas"/>
    <s v="PRD-009"/>
    <x v="2"/>
    <x v="2"/>
    <s v="Carol Davis"/>
    <x v="0"/>
    <n v="1"/>
    <n v="39.99"/>
    <n v="39.99"/>
    <n v="0"/>
    <n v="0"/>
    <n v="39.99"/>
    <n v="3.2"/>
    <n v="43.19"/>
    <x v="1"/>
  </r>
  <r>
    <s v="TXN-00597"/>
    <x v="414"/>
    <x v="2"/>
    <s v="C014"/>
    <s v="Nexus Trading"/>
    <x v="2"/>
    <s v="Denver"/>
    <s v="PRD-005"/>
    <x v="3"/>
    <x v="2"/>
    <s v="Alice Morgan"/>
    <x v="0"/>
    <n v="4"/>
    <n v="599.99"/>
    <n v="2399.96"/>
    <n v="0"/>
    <n v="0"/>
    <n v="2399.96"/>
    <n v="192"/>
    <n v="2591.96"/>
    <x v="1"/>
  </r>
  <r>
    <s v="TXN-00534"/>
    <x v="415"/>
    <x v="2"/>
    <s v="C008"/>
    <s v="Horizon Group"/>
    <x v="2"/>
    <s v="Seattle"/>
    <s v="PRD-001"/>
    <x v="5"/>
    <x v="1"/>
    <s v="Bob Chen"/>
    <x v="4"/>
    <n v="18"/>
    <n v="1199.99"/>
    <n v="21599.82"/>
    <n v="0.05"/>
    <n v="1079.99"/>
    <n v="20519.830000000002"/>
    <n v="1641.59"/>
    <n v="22161.42"/>
    <x v="1"/>
  </r>
  <r>
    <s v="TXN-00518"/>
    <x v="416"/>
    <x v="2"/>
    <s v="C006"/>
    <s v="Foxfire Inc"/>
    <x v="1"/>
    <s v="Miami"/>
    <s v="PRD-014"/>
    <x v="10"/>
    <x v="1"/>
    <s v="Alice Morgan"/>
    <x v="4"/>
    <n v="8"/>
    <n v="479.99"/>
    <n v="3839.92"/>
    <n v="0"/>
    <n v="0"/>
    <n v="3839.92"/>
    <n v="307.19"/>
    <n v="4147.1099999999997"/>
    <x v="2"/>
  </r>
  <r>
    <s v="TXN-00598"/>
    <x v="416"/>
    <x v="2"/>
    <s v="C015"/>
    <s v="Orbit Industries"/>
    <x v="1"/>
    <s v="Houston"/>
    <s v="PRD-011"/>
    <x v="7"/>
    <x v="1"/>
    <s v="Alice Morgan"/>
    <x v="4"/>
    <n v="26"/>
    <n v="249.99"/>
    <n v="6499.74"/>
    <n v="0.08"/>
    <n v="519.98"/>
    <n v="5979.76"/>
    <n v="478.38"/>
    <n v="6458.14"/>
    <x v="1"/>
  </r>
  <r>
    <s v="TXN-00438"/>
    <x v="417"/>
    <x v="2"/>
    <s v="C006"/>
    <s v="Foxfire Inc"/>
    <x v="1"/>
    <s v="Miami"/>
    <s v="PRD-014"/>
    <x v="10"/>
    <x v="1"/>
    <s v="Bob Chen"/>
    <x v="2"/>
    <n v="22"/>
    <n v="479.99"/>
    <n v="10559.78"/>
    <n v="0.08"/>
    <n v="844.78"/>
    <n v="9715"/>
    <n v="777.2"/>
    <n v="10492.2"/>
    <x v="1"/>
  </r>
  <r>
    <s v="TXN-00587"/>
    <x v="418"/>
    <x v="2"/>
    <s v="C012"/>
    <s v="Luminary Co"/>
    <x v="1"/>
    <s v="Dallas"/>
    <s v="PRD-003"/>
    <x v="14"/>
    <x v="1"/>
    <s v="Alice Morgan"/>
    <x v="4"/>
    <n v="12"/>
    <n v="49.99"/>
    <n v="599.88"/>
    <n v="0.05"/>
    <n v="29.99"/>
    <n v="569.89"/>
    <n v="45.59"/>
    <n v="615.48"/>
    <x v="1"/>
  </r>
  <r>
    <s v="TXN-00444"/>
    <x v="419"/>
    <x v="2"/>
    <s v="C001"/>
    <s v="Apex Solutions"/>
    <x v="0"/>
    <s v="New York"/>
    <s v="PRD-015"/>
    <x v="11"/>
    <x v="0"/>
    <s v="Eva Patel"/>
    <x v="1"/>
    <n v="18"/>
    <n v="79.989999999999995"/>
    <n v="1439.82"/>
    <n v="0.13"/>
    <n v="187.18"/>
    <n v="1252.6400000000001"/>
    <n v="100.21"/>
    <n v="1352.85"/>
    <x v="1"/>
  </r>
  <r>
    <s v="TXN-00523"/>
    <x v="420"/>
    <x v="2"/>
    <s v="C013"/>
    <s v="Maverick Systems"/>
    <x v="0"/>
    <s v="Minneapolis"/>
    <s v="PRD-013"/>
    <x v="4"/>
    <x v="2"/>
    <s v="Alice Morgan"/>
    <x v="0"/>
    <n v="26"/>
    <n v="229.99"/>
    <n v="5979.74"/>
    <n v="0.08"/>
    <n v="478.38"/>
    <n v="5501.36"/>
    <n v="440.11"/>
    <n v="5941.47"/>
    <x v="1"/>
  </r>
  <r>
    <s v="TXN-00442"/>
    <x v="421"/>
    <x v="2"/>
    <s v="C003"/>
    <s v="Crestview Ltd"/>
    <x v="3"/>
    <s v="Boston"/>
    <s v="PRD-007"/>
    <x v="13"/>
    <x v="1"/>
    <s v="Carol Davis"/>
    <x v="1"/>
    <n v="25"/>
    <n v="129.99"/>
    <n v="3249.75"/>
    <n v="0.16"/>
    <n v="519.96"/>
    <n v="2729.79"/>
    <n v="218.38"/>
    <n v="2948.17"/>
    <x v="1"/>
  </r>
  <r>
    <s v="TXN-00435"/>
    <x v="422"/>
    <x v="2"/>
    <s v="C012"/>
    <s v="Luminary Co"/>
    <x v="1"/>
    <s v="Dallas"/>
    <s v="PRD-004"/>
    <x v="8"/>
    <x v="2"/>
    <s v="Alice Morgan"/>
    <x v="1"/>
    <n v="8"/>
    <n v="349.99"/>
    <n v="2799.92"/>
    <n v="0.08"/>
    <n v="223.99"/>
    <n v="2575.9299999999998"/>
    <n v="206.07"/>
    <n v="2782"/>
    <x v="1"/>
  </r>
  <r>
    <s v="TXN-00460"/>
    <x v="423"/>
    <x v="2"/>
    <s v="C003"/>
    <s v="Crestview Ltd"/>
    <x v="3"/>
    <s v="Boston"/>
    <s v="PRD-003"/>
    <x v="14"/>
    <x v="1"/>
    <s v="Eva Patel"/>
    <x v="1"/>
    <n v="30"/>
    <n v="49.99"/>
    <n v="1499.7"/>
    <n v="0.16"/>
    <n v="239.95"/>
    <n v="1259.75"/>
    <n v="100.78"/>
    <n v="1360.53"/>
    <x v="1"/>
  </r>
  <r>
    <s v="TXN-00430"/>
    <x v="424"/>
    <x v="2"/>
    <s v="C001"/>
    <s v="Apex Solutions"/>
    <x v="0"/>
    <s v="New York"/>
    <s v="PRD-014"/>
    <x v="10"/>
    <x v="1"/>
    <s v="Alice Morgan"/>
    <x v="2"/>
    <n v="22"/>
    <n v="479.99"/>
    <n v="10559.78"/>
    <n v="0.08"/>
    <n v="844.78"/>
    <n v="9715"/>
    <n v="777.2"/>
    <n v="10492.2"/>
    <x v="1"/>
  </r>
  <r>
    <s v="TXN-00457"/>
    <x v="425"/>
    <x v="2"/>
    <s v="C004"/>
    <s v="Delta Enterprises"/>
    <x v="2"/>
    <s v="Los Angeles"/>
    <s v="PRD-006"/>
    <x v="0"/>
    <x v="0"/>
    <s v="David Kim"/>
    <x v="0"/>
    <n v="16"/>
    <n v="8.99"/>
    <n v="143.84"/>
    <n v="0.05"/>
    <n v="7.19"/>
    <n v="136.65"/>
    <n v="10.93"/>
    <n v="147.58000000000001"/>
    <x v="1"/>
  </r>
  <r>
    <s v="TXN-00502"/>
    <x v="425"/>
    <x v="2"/>
    <s v="C010"/>
    <s v="Jade Innovations"/>
    <x v="2"/>
    <s v="San Francisco"/>
    <s v="PRD-004"/>
    <x v="8"/>
    <x v="2"/>
    <s v="Eva Patel"/>
    <x v="4"/>
    <n v="25"/>
    <n v="349.99"/>
    <n v="8749.75"/>
    <n v="0.08"/>
    <n v="699.98"/>
    <n v="8049.77"/>
    <n v="643.98"/>
    <n v="8693.75"/>
    <x v="2"/>
  </r>
  <r>
    <s v="TXN-00455"/>
    <x v="426"/>
    <x v="2"/>
    <s v="C010"/>
    <s v="Jade Innovations"/>
    <x v="2"/>
    <s v="San Francisco"/>
    <s v="PRD-001"/>
    <x v="5"/>
    <x v="1"/>
    <s v="Bob Chen"/>
    <x v="4"/>
    <n v="9"/>
    <n v="1199.99"/>
    <n v="10799.91"/>
    <n v="0"/>
    <n v="0"/>
    <n v="10799.91"/>
    <n v="863.99"/>
    <n v="11663.9"/>
    <x v="1"/>
  </r>
  <r>
    <s v="TXN-00488"/>
    <x v="427"/>
    <x v="2"/>
    <s v="C003"/>
    <s v="Crestview Ltd"/>
    <x v="3"/>
    <s v="Boston"/>
    <s v="PRD-002"/>
    <x v="9"/>
    <x v="1"/>
    <s v="Alice Morgan"/>
    <x v="4"/>
    <n v="15"/>
    <n v="29.99"/>
    <n v="449.85"/>
    <n v="0.05"/>
    <n v="22.49"/>
    <n v="427.36"/>
    <n v="34.19"/>
    <n v="461.55"/>
    <x v="1"/>
  </r>
  <r>
    <s v="TXN-00511"/>
    <x v="427"/>
    <x v="2"/>
    <s v="C005"/>
    <s v="Eagle Tech"/>
    <x v="0"/>
    <s v="Chicago"/>
    <s v="PRD-002"/>
    <x v="9"/>
    <x v="1"/>
    <s v="Bob Chen"/>
    <x v="0"/>
    <n v="17"/>
    <n v="29.99"/>
    <n v="509.83"/>
    <n v="0.05"/>
    <n v="25.49"/>
    <n v="484.34"/>
    <n v="38.75"/>
    <n v="523.09"/>
    <x v="2"/>
  </r>
  <r>
    <s v="TXN-00491"/>
    <x v="428"/>
    <x v="2"/>
    <s v="C005"/>
    <s v="Eagle Tech"/>
    <x v="0"/>
    <s v="Chicago"/>
    <s v="PRD-001"/>
    <x v="5"/>
    <x v="1"/>
    <s v="David Kim"/>
    <x v="1"/>
    <n v="24"/>
    <n v="1199.99"/>
    <n v="28799.759999999998"/>
    <n v="0.16"/>
    <n v="4607.96"/>
    <n v="24191.8"/>
    <n v="1935.34"/>
    <n v="26127.14"/>
    <x v="1"/>
  </r>
  <r>
    <s v="TXN-00478"/>
    <x v="429"/>
    <x v="2"/>
    <s v="C014"/>
    <s v="Nexus Trading"/>
    <x v="2"/>
    <s v="Denver"/>
    <s v="PRD-013"/>
    <x v="4"/>
    <x v="2"/>
    <s v="David Kim"/>
    <x v="3"/>
    <n v="6"/>
    <n v="229.99"/>
    <n v="1379.94"/>
    <n v="0"/>
    <n v="0"/>
    <n v="1379.94"/>
    <n v="110.4"/>
    <n v="1490.34"/>
    <x v="1"/>
  </r>
  <r>
    <s v="TXN-00501"/>
    <x v="429"/>
    <x v="2"/>
    <s v="C014"/>
    <s v="Nexus Trading"/>
    <x v="2"/>
    <s v="Denver"/>
    <s v="PRD-005"/>
    <x v="3"/>
    <x v="2"/>
    <s v="David Kim"/>
    <x v="2"/>
    <n v="30"/>
    <n v="599.99"/>
    <n v="17999.7"/>
    <n v="0.08"/>
    <n v="1439.98"/>
    <n v="16559.72"/>
    <n v="1324.78"/>
    <n v="17884.5"/>
    <x v="1"/>
  </r>
  <r>
    <s v="TXN-00567"/>
    <x v="429"/>
    <x v="2"/>
    <s v="C007"/>
    <s v="Global Dynamics"/>
    <x v="3"/>
    <s v="Philadelphia"/>
    <s v="PRD-003"/>
    <x v="14"/>
    <x v="1"/>
    <s v="Bob Chen"/>
    <x v="4"/>
    <n v="17"/>
    <n v="49.99"/>
    <n v="849.83"/>
    <n v="0.05"/>
    <n v="42.49"/>
    <n v="807.34"/>
    <n v="64.59"/>
    <n v="871.93"/>
    <x v="1"/>
  </r>
  <r>
    <s v="TXN-00577"/>
    <x v="430"/>
    <x v="2"/>
    <s v="C015"/>
    <s v="Orbit Industries"/>
    <x v="1"/>
    <s v="Houston"/>
    <s v="PRD-006"/>
    <x v="0"/>
    <x v="0"/>
    <s v="Carol Davis"/>
    <x v="4"/>
    <n v="28"/>
    <n v="8.99"/>
    <n v="251.72"/>
    <n v="0.08"/>
    <n v="20.14"/>
    <n v="231.58"/>
    <n v="18.53"/>
    <n v="250.11"/>
    <x v="1"/>
  </r>
  <r>
    <s v="TXN-00530"/>
    <x v="431"/>
    <x v="2"/>
    <s v="C009"/>
    <s v="Ironclad Partners"/>
    <x v="0"/>
    <s v="Detroit"/>
    <s v="PRD-003"/>
    <x v="14"/>
    <x v="1"/>
    <s v="David Kim"/>
    <x v="1"/>
    <n v="5"/>
    <n v="49.99"/>
    <n v="249.95"/>
    <n v="0.08"/>
    <n v="20"/>
    <n v="229.95"/>
    <n v="18.399999999999999"/>
    <n v="0"/>
    <x v="0"/>
  </r>
  <r>
    <s v="TXN-00549"/>
    <x v="432"/>
    <x v="2"/>
    <s v="C014"/>
    <s v="Nexus Trading"/>
    <x v="2"/>
    <s v="Denver"/>
    <s v="PRD-006"/>
    <x v="0"/>
    <x v="0"/>
    <s v="Bob Chen"/>
    <x v="1"/>
    <n v="5"/>
    <n v="8.99"/>
    <n v="44.95"/>
    <n v="0.08"/>
    <n v="3.6"/>
    <n v="41.35"/>
    <n v="3.31"/>
    <n v="44.66"/>
    <x v="1"/>
  </r>
  <r>
    <s v="TXN-00552"/>
    <x v="433"/>
    <x v="2"/>
    <s v="C015"/>
    <s v="Orbit Industries"/>
    <x v="1"/>
    <s v="Houston"/>
    <s v="PRD-012"/>
    <x v="6"/>
    <x v="0"/>
    <s v="Carol Davis"/>
    <x v="1"/>
    <n v="11"/>
    <n v="5.99"/>
    <n v="65.89"/>
    <n v="0.13"/>
    <n v="8.57"/>
    <n v="57.32"/>
    <n v="4.59"/>
    <n v="61.91"/>
    <x v="1"/>
  </r>
  <r>
    <s v="TXN-00506"/>
    <x v="434"/>
    <x v="2"/>
    <s v="C007"/>
    <s v="Global Dynamics"/>
    <x v="3"/>
    <s v="Philadelphia"/>
    <s v="PRD-013"/>
    <x v="4"/>
    <x v="2"/>
    <s v="Alice Morgan"/>
    <x v="1"/>
    <n v="16"/>
    <n v="229.99"/>
    <n v="3679.84"/>
    <n v="0.13"/>
    <n v="478.38"/>
    <n v="3201.46"/>
    <n v="256.12"/>
    <n v="0"/>
    <x v="0"/>
  </r>
  <r>
    <s v="TXN-00439"/>
    <x v="435"/>
    <x v="2"/>
    <s v="C007"/>
    <s v="Global Dynamics"/>
    <x v="3"/>
    <s v="Philadelphia"/>
    <s v="PRD-004"/>
    <x v="8"/>
    <x v="2"/>
    <s v="Carol Davis"/>
    <x v="2"/>
    <n v="18"/>
    <n v="349.99"/>
    <n v="6299.82"/>
    <n v="0.05"/>
    <n v="314.99"/>
    <n v="5984.83"/>
    <n v="478.79"/>
    <n v="6463.62"/>
    <x v="1"/>
  </r>
  <r>
    <s v="TXN-00521"/>
    <x v="436"/>
    <x v="2"/>
    <s v="C007"/>
    <s v="Global Dynamics"/>
    <x v="3"/>
    <s v="Philadelphia"/>
    <s v="PRD-007"/>
    <x v="13"/>
    <x v="1"/>
    <s v="Alice Morgan"/>
    <x v="0"/>
    <n v="15"/>
    <n v="129.99"/>
    <n v="1949.85"/>
    <n v="0.05"/>
    <n v="97.49"/>
    <n v="1852.36"/>
    <n v="148.19"/>
    <n v="2000.55"/>
    <x v="1"/>
  </r>
  <r>
    <s v="TXN-00563"/>
    <x v="436"/>
    <x v="2"/>
    <s v="C001"/>
    <s v="Apex Solutions"/>
    <x v="0"/>
    <s v="New York"/>
    <s v="PRD-002"/>
    <x v="9"/>
    <x v="1"/>
    <s v="Bob Chen"/>
    <x v="1"/>
    <n v="5"/>
    <n v="29.99"/>
    <n v="149.94999999999999"/>
    <n v="0.08"/>
    <n v="12"/>
    <n v="137.94999999999999"/>
    <n v="11.04"/>
    <n v="148.99"/>
    <x v="1"/>
  </r>
  <r>
    <s v="TXN-00525"/>
    <x v="437"/>
    <x v="2"/>
    <s v="C014"/>
    <s v="Nexus Trading"/>
    <x v="2"/>
    <s v="Denver"/>
    <s v="PRD-011"/>
    <x v="7"/>
    <x v="1"/>
    <s v="David Kim"/>
    <x v="0"/>
    <n v="11"/>
    <n v="249.99"/>
    <n v="2749.89"/>
    <n v="0.05"/>
    <n v="137.49"/>
    <n v="2612.4"/>
    <n v="208.99"/>
    <n v="2821.39"/>
    <x v="2"/>
  </r>
  <r>
    <s v="TXN-00545"/>
    <x v="437"/>
    <x v="2"/>
    <s v="C001"/>
    <s v="Apex Solutions"/>
    <x v="0"/>
    <s v="New York"/>
    <s v="PRD-013"/>
    <x v="4"/>
    <x v="2"/>
    <s v="Eva Patel"/>
    <x v="2"/>
    <n v="9"/>
    <n v="229.99"/>
    <n v="2069.91"/>
    <n v="0"/>
    <n v="0"/>
    <n v="2069.91"/>
    <n v="165.59"/>
    <n v="0"/>
    <x v="0"/>
  </r>
  <r>
    <s v="TXN-00572"/>
    <x v="438"/>
    <x v="2"/>
    <s v="C005"/>
    <s v="Eagle Tech"/>
    <x v="0"/>
    <s v="Chicago"/>
    <s v="PRD-004"/>
    <x v="8"/>
    <x v="2"/>
    <s v="Alice Morgan"/>
    <x v="4"/>
    <n v="20"/>
    <n v="349.99"/>
    <n v="6999.8"/>
    <n v="0.08"/>
    <n v="559.98"/>
    <n v="6439.82"/>
    <n v="515.19000000000005"/>
    <n v="0"/>
    <x v="0"/>
  </r>
  <r>
    <s v="TXN-00509"/>
    <x v="439"/>
    <x v="2"/>
    <s v="C013"/>
    <s v="Maverick Systems"/>
    <x v="0"/>
    <s v="Minneapolis"/>
    <s v="PRD-002"/>
    <x v="9"/>
    <x v="1"/>
    <s v="Bob Chen"/>
    <x v="2"/>
    <n v="21"/>
    <n v="29.99"/>
    <n v="629.79"/>
    <n v="0.08"/>
    <n v="50.38"/>
    <n v="579.41"/>
    <n v="46.35"/>
    <n v="625.76"/>
    <x v="1"/>
  </r>
  <r>
    <s v="TXN-00585"/>
    <x v="439"/>
    <x v="2"/>
    <s v="C004"/>
    <s v="Delta Enterprises"/>
    <x v="2"/>
    <s v="Los Angeles"/>
    <s v="PRD-001"/>
    <x v="5"/>
    <x v="1"/>
    <s v="Alice Morgan"/>
    <x v="1"/>
    <n v="15"/>
    <n v="1199.99"/>
    <n v="17999.849999999999"/>
    <n v="0.13"/>
    <n v="2339.98"/>
    <n v="15659.87"/>
    <n v="1252.79"/>
    <n v="16912.66"/>
    <x v="1"/>
  </r>
  <r>
    <s v="TXN-00481"/>
    <x v="440"/>
    <x v="2"/>
    <s v="C007"/>
    <s v="Global Dynamics"/>
    <x v="3"/>
    <s v="Philadelphia"/>
    <s v="PRD-002"/>
    <x v="9"/>
    <x v="1"/>
    <s v="Bob Chen"/>
    <x v="3"/>
    <n v="20"/>
    <n v="29.99"/>
    <n v="599.79999999999995"/>
    <n v="0.08"/>
    <n v="47.98"/>
    <n v="551.82000000000005"/>
    <n v="44.15"/>
    <n v="595.97"/>
    <x v="1"/>
  </r>
  <r>
    <s v="TXN-00495"/>
    <x v="441"/>
    <x v="2"/>
    <s v="C002"/>
    <s v="Blue Ridge Corp"/>
    <x v="1"/>
    <s v="Atlanta"/>
    <s v="PRD-013"/>
    <x v="4"/>
    <x v="2"/>
    <s v="Carol Davis"/>
    <x v="2"/>
    <n v="24"/>
    <n v="229.99"/>
    <n v="5519.76"/>
    <n v="0.08"/>
    <n v="441.58"/>
    <n v="5078.18"/>
    <n v="406.25"/>
    <n v="5484.43"/>
    <x v="1"/>
  </r>
  <r>
    <s v="TXN-00590"/>
    <x v="442"/>
    <x v="2"/>
    <s v="C009"/>
    <s v="Ironclad Partners"/>
    <x v="0"/>
    <s v="Detroit"/>
    <s v="PRD-005"/>
    <x v="3"/>
    <x v="2"/>
    <s v="Alice Morgan"/>
    <x v="2"/>
    <n v="19"/>
    <n v="599.99"/>
    <n v="11399.81"/>
    <n v="0.05"/>
    <n v="569.99"/>
    <n v="10829.82"/>
    <n v="866.39"/>
    <n v="11696.21"/>
    <x v="2"/>
  </r>
  <r>
    <s v="TXN-00462"/>
    <x v="443"/>
    <x v="2"/>
    <s v="C013"/>
    <s v="Maverick Systems"/>
    <x v="0"/>
    <s v="Minneapolis"/>
    <s v="PRD-001"/>
    <x v="5"/>
    <x v="1"/>
    <s v="Alice Morgan"/>
    <x v="1"/>
    <n v="27"/>
    <n v="1199.99"/>
    <n v="32399.73"/>
    <n v="0.16"/>
    <n v="5183.96"/>
    <n v="27215.77"/>
    <n v="2177.2600000000002"/>
    <n v="29393.03"/>
    <x v="1"/>
  </r>
  <r>
    <s v="TXN-00543"/>
    <x v="444"/>
    <x v="2"/>
    <s v="C013"/>
    <s v="Maverick Systems"/>
    <x v="0"/>
    <s v="Minneapolis"/>
    <s v="PRD-004"/>
    <x v="8"/>
    <x v="2"/>
    <s v="Eva Patel"/>
    <x v="2"/>
    <n v="20"/>
    <n v="349.99"/>
    <n v="6999.8"/>
    <n v="0.08"/>
    <n v="559.98"/>
    <n v="6439.82"/>
    <n v="515.19000000000005"/>
    <n v="6955.01"/>
    <x v="2"/>
  </r>
  <r>
    <s v="TXN-00550"/>
    <x v="445"/>
    <x v="2"/>
    <s v="C005"/>
    <s v="Eagle Tech"/>
    <x v="0"/>
    <s v="Chicago"/>
    <s v="PRD-011"/>
    <x v="7"/>
    <x v="1"/>
    <s v="David Kim"/>
    <x v="1"/>
    <n v="3"/>
    <n v="249.99"/>
    <n v="749.97"/>
    <n v="0.08"/>
    <n v="60"/>
    <n v="689.97"/>
    <n v="55.2"/>
    <n v="745.17"/>
    <x v="1"/>
  </r>
  <r>
    <s v="TXN-00426"/>
    <x v="446"/>
    <x v="2"/>
    <s v="C005"/>
    <s v="Eagle Tech"/>
    <x v="0"/>
    <s v="Chicago"/>
    <s v="PRD-001"/>
    <x v="5"/>
    <x v="1"/>
    <s v="David Kim"/>
    <x v="4"/>
    <n v="25"/>
    <n v="1199.99"/>
    <n v="29999.75"/>
    <n v="0.08"/>
    <n v="2399.98"/>
    <n v="27599.77"/>
    <n v="2207.98"/>
    <n v="29807.75"/>
    <x v="1"/>
  </r>
  <r>
    <s v="TXN-00458"/>
    <x v="446"/>
    <x v="2"/>
    <s v="C011"/>
    <s v="Keystone Ventures"/>
    <x v="3"/>
    <s v="Washington DC"/>
    <s v="PRD-011"/>
    <x v="7"/>
    <x v="1"/>
    <s v="Carol Davis"/>
    <x v="2"/>
    <n v="24"/>
    <n v="249.99"/>
    <n v="5999.76"/>
    <n v="0.08"/>
    <n v="479.98"/>
    <n v="5519.78"/>
    <n v="441.58"/>
    <n v="5961.36"/>
    <x v="1"/>
  </r>
  <r>
    <s v="TXN-00445"/>
    <x v="447"/>
    <x v="2"/>
    <s v="C007"/>
    <s v="Global Dynamics"/>
    <x v="3"/>
    <s v="Philadelphia"/>
    <s v="PRD-003"/>
    <x v="14"/>
    <x v="1"/>
    <s v="Bob Chen"/>
    <x v="2"/>
    <n v="11"/>
    <n v="49.99"/>
    <n v="549.89"/>
    <n v="0.05"/>
    <n v="27.49"/>
    <n v="522.4"/>
    <n v="41.79"/>
    <n v="564.19000000000005"/>
    <x v="1"/>
  </r>
  <r>
    <s v="TXN-00595"/>
    <x v="448"/>
    <x v="2"/>
    <s v="C015"/>
    <s v="Orbit Industries"/>
    <x v="1"/>
    <s v="Houston"/>
    <s v="PRD-007"/>
    <x v="13"/>
    <x v="1"/>
    <s v="Bob Chen"/>
    <x v="4"/>
    <n v="18"/>
    <n v="129.99"/>
    <n v="2339.8200000000002"/>
    <n v="0.05"/>
    <n v="116.99"/>
    <n v="2222.83"/>
    <n v="177.83"/>
    <n v="2400.66"/>
    <x v="1"/>
  </r>
  <r>
    <s v="TXN-00520"/>
    <x v="449"/>
    <x v="2"/>
    <s v="C013"/>
    <s v="Maverick Systems"/>
    <x v="0"/>
    <s v="Minneapolis"/>
    <s v="PRD-004"/>
    <x v="8"/>
    <x v="2"/>
    <s v="David Kim"/>
    <x v="4"/>
    <n v="21"/>
    <n v="349.99"/>
    <n v="7349.79"/>
    <n v="0.08"/>
    <n v="587.98"/>
    <n v="6761.81"/>
    <n v="540.94000000000005"/>
    <n v="7302.75"/>
    <x v="1"/>
  </r>
  <r>
    <s v="TXN-00432"/>
    <x v="450"/>
    <x v="2"/>
    <s v="C005"/>
    <s v="Eagle Tech"/>
    <x v="0"/>
    <s v="Chicago"/>
    <s v="PRD-003"/>
    <x v="14"/>
    <x v="1"/>
    <s v="Bob Chen"/>
    <x v="3"/>
    <n v="26"/>
    <n v="49.99"/>
    <n v="1299.74"/>
    <n v="0.08"/>
    <n v="103.98"/>
    <n v="1195.76"/>
    <n v="95.66"/>
    <n v="1291.42"/>
    <x v="1"/>
  </r>
  <r>
    <s v="TXN-00416"/>
    <x v="451"/>
    <x v="2"/>
    <s v="C012"/>
    <s v="Luminary Co"/>
    <x v="1"/>
    <s v="Dallas"/>
    <s v="PRD-007"/>
    <x v="13"/>
    <x v="1"/>
    <s v="Eva Patel"/>
    <x v="1"/>
    <n v="26"/>
    <n v="129.99"/>
    <n v="3379.74"/>
    <n v="0.16"/>
    <n v="540.76"/>
    <n v="2838.98"/>
    <n v="227.12"/>
    <n v="0"/>
    <x v="0"/>
  </r>
  <r>
    <s v="TXN-00560"/>
    <x v="451"/>
    <x v="2"/>
    <s v="C011"/>
    <s v="Keystone Ventures"/>
    <x v="3"/>
    <s v="Washington DC"/>
    <s v="PRD-002"/>
    <x v="9"/>
    <x v="1"/>
    <s v="Carol Davis"/>
    <x v="2"/>
    <n v="12"/>
    <n v="29.99"/>
    <n v="359.88"/>
    <n v="0.05"/>
    <n v="17.989999999999998"/>
    <n v="341.89"/>
    <n v="27.35"/>
    <n v="369.24"/>
    <x v="1"/>
  </r>
  <r>
    <s v="TXN-00461"/>
    <x v="452"/>
    <x v="2"/>
    <s v="C001"/>
    <s v="Apex Solutions"/>
    <x v="0"/>
    <s v="New York"/>
    <s v="PRD-011"/>
    <x v="7"/>
    <x v="1"/>
    <s v="Eva Patel"/>
    <x v="3"/>
    <n v="27"/>
    <n v="249.99"/>
    <n v="6749.73"/>
    <n v="0.08"/>
    <n v="539.98"/>
    <n v="6209.75"/>
    <n v="496.78"/>
    <n v="6706.53"/>
    <x v="1"/>
  </r>
  <r>
    <s v="TXN-00437"/>
    <x v="453"/>
    <x v="2"/>
    <s v="C015"/>
    <s v="Orbit Industries"/>
    <x v="1"/>
    <s v="Houston"/>
    <s v="PRD-014"/>
    <x v="10"/>
    <x v="1"/>
    <s v="Eva Patel"/>
    <x v="2"/>
    <n v="20"/>
    <n v="479.99"/>
    <n v="9599.7999999999993"/>
    <n v="0.08"/>
    <n v="767.98"/>
    <n v="8831.82"/>
    <n v="706.55"/>
    <n v="0"/>
    <x v="0"/>
  </r>
  <r>
    <s v="TXN-00474"/>
    <x v="454"/>
    <x v="2"/>
    <s v="C009"/>
    <s v="Ironclad Partners"/>
    <x v="0"/>
    <s v="Detroit"/>
    <s v="PRD-015"/>
    <x v="11"/>
    <x v="0"/>
    <s v="Alice Morgan"/>
    <x v="4"/>
    <n v="29"/>
    <n v="79.989999999999995"/>
    <n v="2319.71"/>
    <n v="0.08"/>
    <n v="185.58"/>
    <n v="2134.13"/>
    <n v="170.73"/>
    <n v="2304.86"/>
    <x v="1"/>
  </r>
  <r>
    <s v="TXN-00529"/>
    <x v="455"/>
    <x v="2"/>
    <s v="C004"/>
    <s v="Delta Enterprises"/>
    <x v="2"/>
    <s v="Los Angeles"/>
    <s v="PRD-002"/>
    <x v="9"/>
    <x v="1"/>
    <s v="Carol Davis"/>
    <x v="3"/>
    <n v="12"/>
    <n v="29.99"/>
    <n v="359.88"/>
    <n v="0.05"/>
    <n v="17.989999999999998"/>
    <n v="341.89"/>
    <n v="27.35"/>
    <n v="369.24"/>
    <x v="1"/>
  </r>
  <r>
    <s v="TXN-00531"/>
    <x v="455"/>
    <x v="2"/>
    <s v="C007"/>
    <s v="Global Dynamics"/>
    <x v="3"/>
    <s v="Philadelphia"/>
    <s v="PRD-007"/>
    <x v="13"/>
    <x v="1"/>
    <s v="Bob Chen"/>
    <x v="1"/>
    <n v="18"/>
    <n v="129.99"/>
    <n v="2339.8200000000002"/>
    <n v="0.13"/>
    <n v="304.18"/>
    <n v="2035.64"/>
    <n v="162.85"/>
    <n v="2198.4899999999998"/>
    <x v="2"/>
  </r>
  <r>
    <s v="TXN-00553"/>
    <x v="456"/>
    <x v="2"/>
    <s v="C014"/>
    <s v="Nexus Trading"/>
    <x v="2"/>
    <s v="Denver"/>
    <s v="PRD-001"/>
    <x v="5"/>
    <x v="1"/>
    <s v="Alice Morgan"/>
    <x v="1"/>
    <n v="22"/>
    <n v="1199.99"/>
    <n v="26399.78"/>
    <n v="0.16"/>
    <n v="4223.96"/>
    <n v="22175.82"/>
    <n v="1774.07"/>
    <n v="23949.89"/>
    <x v="2"/>
  </r>
  <r>
    <s v="TXN-00450"/>
    <x v="457"/>
    <x v="2"/>
    <s v="C002"/>
    <s v="Blue Ridge Corp"/>
    <x v="1"/>
    <s v="Atlanta"/>
    <s v="PRD-012"/>
    <x v="6"/>
    <x v="0"/>
    <s v="David Kim"/>
    <x v="4"/>
    <n v="20"/>
    <n v="5.99"/>
    <n v="119.8"/>
    <n v="0.08"/>
    <n v="9.58"/>
    <n v="110.22"/>
    <n v="8.82"/>
    <n v="119.04"/>
    <x v="2"/>
  </r>
  <r>
    <s v="TXN-00522"/>
    <x v="457"/>
    <x v="2"/>
    <s v="C007"/>
    <s v="Global Dynamics"/>
    <x v="3"/>
    <s v="Philadelphia"/>
    <s v="PRD-007"/>
    <x v="13"/>
    <x v="1"/>
    <s v="Alice Morgan"/>
    <x v="4"/>
    <n v="9"/>
    <n v="129.99"/>
    <n v="1169.9100000000001"/>
    <n v="0"/>
    <n v="0"/>
    <n v="1169.9100000000001"/>
    <n v="93.59"/>
    <n v="1263.5"/>
    <x v="1"/>
  </r>
  <r>
    <s v="TXN-00562"/>
    <x v="457"/>
    <x v="2"/>
    <s v="C012"/>
    <s v="Luminary Co"/>
    <x v="1"/>
    <s v="Dallas"/>
    <s v="PRD-012"/>
    <x v="6"/>
    <x v="0"/>
    <s v="Bob Chen"/>
    <x v="1"/>
    <n v="3"/>
    <n v="5.99"/>
    <n v="17.97"/>
    <n v="0.08"/>
    <n v="1.44"/>
    <n v="16.53"/>
    <n v="1.32"/>
    <n v="17.850000000000001"/>
    <x v="2"/>
  </r>
  <r>
    <s v="TXN-00586"/>
    <x v="458"/>
    <x v="2"/>
    <s v="C001"/>
    <s v="Apex Solutions"/>
    <x v="0"/>
    <s v="New York"/>
    <s v="PRD-010"/>
    <x v="1"/>
    <x v="1"/>
    <s v="Carol Davis"/>
    <x v="4"/>
    <n v="1"/>
    <n v="89.99"/>
    <n v="89.99"/>
    <n v="0"/>
    <n v="0"/>
    <n v="89.99"/>
    <n v="7.2"/>
    <n v="97.19"/>
    <x v="1"/>
  </r>
  <r>
    <s v="TXN-00485"/>
    <x v="459"/>
    <x v="2"/>
    <s v="C002"/>
    <s v="Blue Ridge Corp"/>
    <x v="1"/>
    <s v="Atlanta"/>
    <s v="PRD-012"/>
    <x v="6"/>
    <x v="0"/>
    <s v="Alice Morgan"/>
    <x v="2"/>
    <n v="13"/>
    <n v="5.99"/>
    <n v="77.87"/>
    <n v="0.05"/>
    <n v="3.89"/>
    <n v="73.98"/>
    <n v="5.92"/>
    <n v="79.900000000000006"/>
    <x v="1"/>
  </r>
  <r>
    <s v="TXN-00548"/>
    <x v="459"/>
    <x v="2"/>
    <s v="C014"/>
    <s v="Nexus Trading"/>
    <x v="2"/>
    <s v="Denver"/>
    <s v="PRD-005"/>
    <x v="3"/>
    <x v="2"/>
    <s v="Bob Chen"/>
    <x v="4"/>
    <n v="5"/>
    <n v="599.99"/>
    <n v="2999.95"/>
    <n v="0"/>
    <n v="0"/>
    <n v="2999.95"/>
    <n v="240"/>
    <n v="3239.95"/>
    <x v="1"/>
  </r>
  <r>
    <s v="TXN-00580"/>
    <x v="459"/>
    <x v="2"/>
    <s v="C001"/>
    <s v="Apex Solutions"/>
    <x v="0"/>
    <s v="New York"/>
    <s v="PRD-015"/>
    <x v="11"/>
    <x v="0"/>
    <s v="David Kim"/>
    <x v="0"/>
    <n v="21"/>
    <n v="79.989999999999995"/>
    <n v="1679.79"/>
    <n v="0.08"/>
    <n v="134.38"/>
    <n v="1545.41"/>
    <n v="123.63"/>
    <n v="1669.04"/>
    <x v="1"/>
  </r>
  <r>
    <s v="TXN-00641"/>
    <x v="460"/>
    <x v="3"/>
    <s v="C010"/>
    <s v="Jade Innovations"/>
    <x v="2"/>
    <s v="San Francisco"/>
    <s v="PRD-004"/>
    <x v="8"/>
    <x v="2"/>
    <s v="Bob Chen"/>
    <x v="3"/>
    <n v="16"/>
    <n v="349.99"/>
    <n v="5599.84"/>
    <n v="0.05"/>
    <n v="279.99"/>
    <n v="5319.85"/>
    <n v="425.59"/>
    <n v="0"/>
    <x v="0"/>
  </r>
  <r>
    <s v="TXN-00731"/>
    <x v="461"/>
    <x v="3"/>
    <s v="C006"/>
    <s v="Foxfire Inc"/>
    <x v="1"/>
    <s v="Miami"/>
    <s v="PRD-015"/>
    <x v="11"/>
    <x v="0"/>
    <s v="Eva Patel"/>
    <x v="4"/>
    <n v="22"/>
    <n v="79.989999999999995"/>
    <n v="1759.78"/>
    <n v="0.08"/>
    <n v="140.78"/>
    <n v="1619"/>
    <n v="129.52000000000001"/>
    <n v="1748.52"/>
    <x v="1"/>
  </r>
  <r>
    <s v="TXN-00602"/>
    <x v="462"/>
    <x v="3"/>
    <s v="C008"/>
    <s v="Horizon Group"/>
    <x v="2"/>
    <s v="Seattle"/>
    <s v="PRD-010"/>
    <x v="1"/>
    <x v="1"/>
    <s v="Bob Chen"/>
    <x v="0"/>
    <n v="5"/>
    <n v="89.99"/>
    <n v="449.95"/>
    <n v="0"/>
    <n v="0"/>
    <n v="449.95"/>
    <n v="36"/>
    <n v="485.95"/>
    <x v="1"/>
  </r>
  <r>
    <s v="TXN-00704"/>
    <x v="463"/>
    <x v="3"/>
    <s v="C008"/>
    <s v="Horizon Group"/>
    <x v="2"/>
    <s v="Seattle"/>
    <s v="PRD-001"/>
    <x v="5"/>
    <x v="1"/>
    <s v="Bob Chen"/>
    <x v="4"/>
    <n v="26"/>
    <n v="1199.99"/>
    <n v="31199.74"/>
    <n v="0.08"/>
    <n v="2495.98"/>
    <n v="28703.759999999998"/>
    <n v="2296.3000000000002"/>
    <n v="0"/>
    <x v="0"/>
  </r>
  <r>
    <s v="TXN-00682"/>
    <x v="464"/>
    <x v="3"/>
    <s v="C006"/>
    <s v="Foxfire Inc"/>
    <x v="1"/>
    <s v="Miami"/>
    <s v="PRD-009"/>
    <x v="2"/>
    <x v="2"/>
    <s v="Carol Davis"/>
    <x v="0"/>
    <n v="30"/>
    <n v="39.99"/>
    <n v="1199.7"/>
    <n v="0.08"/>
    <n v="95.98"/>
    <n v="1103.72"/>
    <n v="88.3"/>
    <n v="1192.02"/>
    <x v="1"/>
  </r>
  <r>
    <s v="TXN-00748"/>
    <x v="464"/>
    <x v="3"/>
    <s v="C015"/>
    <s v="Orbit Industries"/>
    <x v="1"/>
    <s v="Houston"/>
    <s v="PRD-012"/>
    <x v="6"/>
    <x v="0"/>
    <s v="David Kim"/>
    <x v="2"/>
    <n v="1"/>
    <n v="5.99"/>
    <n v="5.99"/>
    <n v="0"/>
    <n v="0"/>
    <n v="5.99"/>
    <n v="0.48"/>
    <n v="6.47"/>
    <x v="1"/>
  </r>
  <r>
    <s v="TXN-00761"/>
    <x v="464"/>
    <x v="3"/>
    <s v="C001"/>
    <s v="Apex Solutions"/>
    <x v="0"/>
    <s v="New York"/>
    <s v="PRD-008"/>
    <x v="12"/>
    <x v="1"/>
    <s v="Alice Morgan"/>
    <x v="2"/>
    <n v="11"/>
    <n v="399.99"/>
    <n v="4399.8900000000003"/>
    <n v="0.05"/>
    <n v="219.99"/>
    <n v="4179.8999999999996"/>
    <n v="334.39"/>
    <n v="4514.29"/>
    <x v="2"/>
  </r>
  <r>
    <s v="TXN-00730"/>
    <x v="465"/>
    <x v="3"/>
    <s v="C001"/>
    <s v="Apex Solutions"/>
    <x v="0"/>
    <s v="New York"/>
    <s v="PRD-001"/>
    <x v="5"/>
    <x v="1"/>
    <s v="Eva Patel"/>
    <x v="4"/>
    <n v="12"/>
    <n v="1199.99"/>
    <n v="14399.88"/>
    <n v="0.05"/>
    <n v="719.99"/>
    <n v="13679.89"/>
    <n v="1094.3900000000001"/>
    <n v="14774.28"/>
    <x v="2"/>
  </r>
  <r>
    <s v="TXN-00659"/>
    <x v="466"/>
    <x v="3"/>
    <s v="C003"/>
    <s v="Crestview Ltd"/>
    <x v="3"/>
    <s v="Boston"/>
    <s v="PRD-004"/>
    <x v="8"/>
    <x v="2"/>
    <s v="David Kim"/>
    <x v="3"/>
    <n v="10"/>
    <n v="349.99"/>
    <n v="3499.9"/>
    <n v="0.05"/>
    <n v="175"/>
    <n v="3324.9"/>
    <n v="265.99"/>
    <n v="3590.89"/>
    <x v="1"/>
  </r>
  <r>
    <s v="TXN-00737"/>
    <x v="467"/>
    <x v="3"/>
    <s v="C004"/>
    <s v="Delta Enterprises"/>
    <x v="2"/>
    <s v="Los Angeles"/>
    <s v="PRD-001"/>
    <x v="5"/>
    <x v="1"/>
    <s v="Bob Chen"/>
    <x v="4"/>
    <n v="24"/>
    <n v="1199.99"/>
    <n v="28799.759999999998"/>
    <n v="0.08"/>
    <n v="2303.98"/>
    <n v="26495.78"/>
    <n v="2119.66"/>
    <n v="28615.439999999999"/>
    <x v="1"/>
  </r>
  <r>
    <s v="TXN-00771"/>
    <x v="468"/>
    <x v="3"/>
    <s v="C011"/>
    <s v="Keystone Ventures"/>
    <x v="3"/>
    <s v="Washington DC"/>
    <s v="PRD-012"/>
    <x v="6"/>
    <x v="0"/>
    <s v="Alice Morgan"/>
    <x v="3"/>
    <n v="14"/>
    <n v="5.99"/>
    <n v="83.86"/>
    <n v="0.05"/>
    <n v="4.1900000000000004"/>
    <n v="79.67"/>
    <n v="6.37"/>
    <n v="86.04"/>
    <x v="1"/>
  </r>
  <r>
    <s v="TXN-00671"/>
    <x v="469"/>
    <x v="3"/>
    <s v="C006"/>
    <s v="Foxfire Inc"/>
    <x v="1"/>
    <s v="Miami"/>
    <s v="PRD-003"/>
    <x v="14"/>
    <x v="1"/>
    <s v="David Kim"/>
    <x v="2"/>
    <n v="15"/>
    <n v="49.99"/>
    <n v="749.85"/>
    <n v="0.05"/>
    <n v="37.49"/>
    <n v="712.36"/>
    <n v="56.99"/>
    <n v="769.35"/>
    <x v="1"/>
  </r>
  <r>
    <s v="TXN-00739"/>
    <x v="470"/>
    <x v="3"/>
    <s v="C001"/>
    <s v="Apex Solutions"/>
    <x v="0"/>
    <s v="New York"/>
    <s v="PRD-013"/>
    <x v="4"/>
    <x v="2"/>
    <s v="David Kim"/>
    <x v="2"/>
    <n v="20"/>
    <n v="229.99"/>
    <n v="4599.8"/>
    <n v="0.08"/>
    <n v="367.98"/>
    <n v="4231.82"/>
    <n v="338.55"/>
    <n v="0"/>
    <x v="0"/>
  </r>
  <r>
    <s v="TXN-00783"/>
    <x v="470"/>
    <x v="3"/>
    <s v="C009"/>
    <s v="Ironclad Partners"/>
    <x v="0"/>
    <s v="Detroit"/>
    <s v="PRD-010"/>
    <x v="1"/>
    <x v="1"/>
    <s v="Bob Chen"/>
    <x v="1"/>
    <n v="17"/>
    <n v="89.99"/>
    <n v="1529.83"/>
    <n v="0.13"/>
    <n v="198.88"/>
    <n v="1330.95"/>
    <n v="106.48"/>
    <n v="1437.43"/>
    <x v="1"/>
  </r>
  <r>
    <s v="TXN-00665"/>
    <x v="471"/>
    <x v="3"/>
    <s v="C011"/>
    <s v="Keystone Ventures"/>
    <x v="3"/>
    <s v="Washington DC"/>
    <s v="PRD-005"/>
    <x v="3"/>
    <x v="2"/>
    <s v="Carol Davis"/>
    <x v="2"/>
    <n v="4"/>
    <n v="599.99"/>
    <n v="2399.96"/>
    <n v="0"/>
    <n v="0"/>
    <n v="2399.96"/>
    <n v="192"/>
    <n v="2591.96"/>
    <x v="1"/>
  </r>
  <r>
    <s v="TXN-00723"/>
    <x v="472"/>
    <x v="3"/>
    <s v="C002"/>
    <s v="Blue Ridge Corp"/>
    <x v="1"/>
    <s v="Atlanta"/>
    <s v="PRD-009"/>
    <x v="2"/>
    <x v="2"/>
    <s v="David Kim"/>
    <x v="0"/>
    <n v="14"/>
    <n v="39.99"/>
    <n v="559.86"/>
    <n v="0.05"/>
    <n v="27.99"/>
    <n v="531.87"/>
    <n v="42.55"/>
    <n v="574.41999999999996"/>
    <x v="1"/>
  </r>
  <r>
    <s v="TXN-00640"/>
    <x v="473"/>
    <x v="3"/>
    <s v="C005"/>
    <s v="Eagle Tech"/>
    <x v="0"/>
    <s v="Chicago"/>
    <s v="PRD-009"/>
    <x v="2"/>
    <x v="2"/>
    <s v="Bob Chen"/>
    <x v="1"/>
    <n v="3"/>
    <n v="39.99"/>
    <n v="119.97"/>
    <n v="0.08"/>
    <n v="9.6"/>
    <n v="110.37"/>
    <n v="8.83"/>
    <n v="119.2"/>
    <x v="1"/>
  </r>
  <r>
    <s v="TXN-00711"/>
    <x v="474"/>
    <x v="3"/>
    <s v="C004"/>
    <s v="Delta Enterprises"/>
    <x v="2"/>
    <s v="Los Angeles"/>
    <s v="PRD-005"/>
    <x v="3"/>
    <x v="2"/>
    <s v="Bob Chen"/>
    <x v="0"/>
    <n v="29"/>
    <n v="599.99"/>
    <n v="17399.71"/>
    <n v="0.08"/>
    <n v="1391.98"/>
    <n v="16007.73"/>
    <n v="1280.6199999999999"/>
    <n v="17288.349999999999"/>
    <x v="1"/>
  </r>
  <r>
    <s v="TXN-00757"/>
    <x v="475"/>
    <x v="3"/>
    <s v="C007"/>
    <s v="Global Dynamics"/>
    <x v="3"/>
    <s v="Philadelphia"/>
    <s v="PRD-013"/>
    <x v="4"/>
    <x v="2"/>
    <s v="Bob Chen"/>
    <x v="3"/>
    <n v="23"/>
    <n v="229.99"/>
    <n v="5289.77"/>
    <n v="0.08"/>
    <n v="423.18"/>
    <n v="4866.59"/>
    <n v="389.33"/>
    <n v="5255.92"/>
    <x v="1"/>
  </r>
  <r>
    <s v="TXN-00609"/>
    <x v="476"/>
    <x v="3"/>
    <s v="C014"/>
    <s v="Nexus Trading"/>
    <x v="2"/>
    <s v="Denver"/>
    <s v="PRD-011"/>
    <x v="7"/>
    <x v="1"/>
    <s v="David Kim"/>
    <x v="3"/>
    <n v="19"/>
    <n v="249.99"/>
    <n v="4749.8100000000004"/>
    <n v="0.05"/>
    <n v="237.49"/>
    <n v="4512.32"/>
    <n v="360.99"/>
    <n v="0"/>
    <x v="0"/>
  </r>
  <r>
    <s v="TXN-00674"/>
    <x v="476"/>
    <x v="3"/>
    <s v="C009"/>
    <s v="Ironclad Partners"/>
    <x v="0"/>
    <s v="Detroit"/>
    <s v="PRD-013"/>
    <x v="4"/>
    <x v="2"/>
    <s v="David Kim"/>
    <x v="0"/>
    <n v="18"/>
    <n v="229.99"/>
    <n v="4139.82"/>
    <n v="0.05"/>
    <n v="206.99"/>
    <n v="3932.83"/>
    <n v="314.63"/>
    <n v="4247.46"/>
    <x v="1"/>
  </r>
  <r>
    <s v="TXN-00622"/>
    <x v="477"/>
    <x v="3"/>
    <s v="C010"/>
    <s v="Jade Innovations"/>
    <x v="2"/>
    <s v="San Francisco"/>
    <s v="PRD-002"/>
    <x v="9"/>
    <x v="1"/>
    <s v="Eva Patel"/>
    <x v="2"/>
    <n v="1"/>
    <n v="29.99"/>
    <n v="29.99"/>
    <n v="0"/>
    <n v="0"/>
    <n v="29.99"/>
    <n v="2.4"/>
    <n v="32.39"/>
    <x v="1"/>
  </r>
  <r>
    <s v="TXN-00616"/>
    <x v="478"/>
    <x v="3"/>
    <s v="C010"/>
    <s v="Jade Innovations"/>
    <x v="2"/>
    <s v="San Francisco"/>
    <s v="PRD-012"/>
    <x v="6"/>
    <x v="0"/>
    <s v="Alice Morgan"/>
    <x v="4"/>
    <n v="5"/>
    <n v="5.99"/>
    <n v="29.95"/>
    <n v="0"/>
    <n v="0"/>
    <n v="29.95"/>
    <n v="2.4"/>
    <n v="32.35"/>
    <x v="1"/>
  </r>
  <r>
    <s v="TXN-00606"/>
    <x v="479"/>
    <x v="3"/>
    <s v="C008"/>
    <s v="Horizon Group"/>
    <x v="2"/>
    <s v="Seattle"/>
    <s v="PRD-007"/>
    <x v="13"/>
    <x v="1"/>
    <s v="Alice Morgan"/>
    <x v="4"/>
    <n v="9"/>
    <n v="129.99"/>
    <n v="1169.9100000000001"/>
    <n v="0"/>
    <n v="0"/>
    <n v="1169.9100000000001"/>
    <n v="93.59"/>
    <n v="1263.5"/>
    <x v="2"/>
  </r>
  <r>
    <s v="TXN-00750"/>
    <x v="480"/>
    <x v="3"/>
    <s v="C013"/>
    <s v="Maverick Systems"/>
    <x v="0"/>
    <s v="Minneapolis"/>
    <s v="PRD-002"/>
    <x v="9"/>
    <x v="1"/>
    <s v="Eva Patel"/>
    <x v="3"/>
    <n v="24"/>
    <n v="29.99"/>
    <n v="719.76"/>
    <n v="0.08"/>
    <n v="57.58"/>
    <n v="662.18"/>
    <n v="52.97"/>
    <n v="715.15"/>
    <x v="2"/>
  </r>
  <r>
    <s v="TXN-00619"/>
    <x v="481"/>
    <x v="3"/>
    <s v="C012"/>
    <s v="Luminary Co"/>
    <x v="1"/>
    <s v="Dallas"/>
    <s v="PRD-009"/>
    <x v="2"/>
    <x v="2"/>
    <s v="Eva Patel"/>
    <x v="4"/>
    <n v="15"/>
    <n v="39.99"/>
    <n v="599.85"/>
    <n v="0.05"/>
    <n v="29.99"/>
    <n v="569.86"/>
    <n v="45.59"/>
    <n v="615.45000000000005"/>
    <x v="1"/>
  </r>
  <r>
    <s v="TXN-00707"/>
    <x v="481"/>
    <x v="3"/>
    <s v="C005"/>
    <s v="Eagle Tech"/>
    <x v="0"/>
    <s v="Chicago"/>
    <s v="PRD-008"/>
    <x v="12"/>
    <x v="1"/>
    <s v="Eva Patel"/>
    <x v="0"/>
    <n v="19"/>
    <n v="399.99"/>
    <n v="7599.81"/>
    <n v="0.05"/>
    <n v="379.99"/>
    <n v="7219.82"/>
    <n v="577.59"/>
    <n v="7797.41"/>
    <x v="1"/>
  </r>
  <r>
    <s v="TXN-00651"/>
    <x v="482"/>
    <x v="3"/>
    <s v="C013"/>
    <s v="Maverick Systems"/>
    <x v="0"/>
    <s v="Minneapolis"/>
    <s v="PRD-015"/>
    <x v="11"/>
    <x v="0"/>
    <s v="Eva Patel"/>
    <x v="4"/>
    <n v="19"/>
    <n v="79.989999999999995"/>
    <n v="1519.81"/>
    <n v="0.05"/>
    <n v="75.989999999999995"/>
    <n v="1443.82"/>
    <n v="115.51"/>
    <n v="1559.33"/>
    <x v="2"/>
  </r>
  <r>
    <s v="TXN-00655"/>
    <x v="483"/>
    <x v="3"/>
    <s v="C012"/>
    <s v="Luminary Co"/>
    <x v="1"/>
    <s v="Dallas"/>
    <s v="PRD-004"/>
    <x v="8"/>
    <x v="2"/>
    <s v="Alice Morgan"/>
    <x v="2"/>
    <n v="26"/>
    <n v="349.99"/>
    <n v="9099.74"/>
    <n v="0.08"/>
    <n v="727.98"/>
    <n v="8371.76"/>
    <n v="669.74"/>
    <n v="9041.5"/>
    <x v="1"/>
  </r>
  <r>
    <s v="TXN-00755"/>
    <x v="484"/>
    <x v="3"/>
    <s v="C005"/>
    <s v="Eagle Tech"/>
    <x v="0"/>
    <s v="Chicago"/>
    <s v="PRD-010"/>
    <x v="1"/>
    <x v="1"/>
    <s v="Alice Morgan"/>
    <x v="2"/>
    <n v="6"/>
    <n v="89.99"/>
    <n v="539.94000000000005"/>
    <n v="0"/>
    <n v="0"/>
    <n v="539.94000000000005"/>
    <n v="43.2"/>
    <n v="583.14"/>
    <x v="1"/>
  </r>
  <r>
    <s v="TXN-00740"/>
    <x v="485"/>
    <x v="3"/>
    <s v="C001"/>
    <s v="Apex Solutions"/>
    <x v="0"/>
    <s v="New York"/>
    <s v="PRD-010"/>
    <x v="1"/>
    <x v="1"/>
    <s v="Alice Morgan"/>
    <x v="3"/>
    <n v="23"/>
    <n v="89.99"/>
    <n v="2069.77"/>
    <n v="0.08"/>
    <n v="165.58"/>
    <n v="1904.19"/>
    <n v="152.34"/>
    <n v="2056.5300000000002"/>
    <x v="1"/>
  </r>
  <r>
    <s v="TXN-00744"/>
    <x v="486"/>
    <x v="3"/>
    <s v="C007"/>
    <s v="Global Dynamics"/>
    <x v="3"/>
    <s v="Philadelphia"/>
    <s v="PRD-003"/>
    <x v="14"/>
    <x v="1"/>
    <s v="Alice Morgan"/>
    <x v="0"/>
    <n v="20"/>
    <n v="49.99"/>
    <n v="999.8"/>
    <n v="0.08"/>
    <n v="79.98"/>
    <n v="919.82"/>
    <n v="73.59"/>
    <n v="993.41"/>
    <x v="2"/>
  </r>
  <r>
    <s v="TXN-00613"/>
    <x v="487"/>
    <x v="3"/>
    <s v="C003"/>
    <s v="Crestview Ltd"/>
    <x v="3"/>
    <s v="Boston"/>
    <s v="PRD-002"/>
    <x v="9"/>
    <x v="1"/>
    <s v="David Kim"/>
    <x v="1"/>
    <n v="14"/>
    <n v="29.99"/>
    <n v="419.86"/>
    <n v="0.13"/>
    <n v="54.58"/>
    <n v="365.28"/>
    <n v="29.22"/>
    <n v="394.5"/>
    <x v="1"/>
  </r>
  <r>
    <s v="TXN-00785"/>
    <x v="488"/>
    <x v="3"/>
    <s v="C015"/>
    <s v="Orbit Industries"/>
    <x v="1"/>
    <s v="Houston"/>
    <s v="PRD-013"/>
    <x v="4"/>
    <x v="2"/>
    <s v="Bob Chen"/>
    <x v="0"/>
    <n v="24"/>
    <n v="229.99"/>
    <n v="5519.76"/>
    <n v="0.08"/>
    <n v="441.58"/>
    <n v="5078.18"/>
    <n v="406.25"/>
    <n v="5484.43"/>
    <x v="1"/>
  </r>
  <r>
    <s v="TXN-00608"/>
    <x v="489"/>
    <x v="3"/>
    <s v="C012"/>
    <s v="Luminary Co"/>
    <x v="1"/>
    <s v="Dallas"/>
    <s v="PRD-008"/>
    <x v="12"/>
    <x v="1"/>
    <s v="Alice Morgan"/>
    <x v="0"/>
    <n v="17"/>
    <n v="399.99"/>
    <n v="6799.83"/>
    <n v="0.05"/>
    <n v="339.99"/>
    <n v="6459.84"/>
    <n v="516.79"/>
    <n v="6976.63"/>
    <x v="1"/>
  </r>
  <r>
    <s v="TXN-00753"/>
    <x v="490"/>
    <x v="3"/>
    <s v="C007"/>
    <s v="Global Dynamics"/>
    <x v="3"/>
    <s v="Philadelphia"/>
    <s v="PRD-006"/>
    <x v="0"/>
    <x v="0"/>
    <s v="Alice Morgan"/>
    <x v="3"/>
    <n v="1"/>
    <n v="8.99"/>
    <n v="8.99"/>
    <n v="0"/>
    <n v="0"/>
    <n v="8.99"/>
    <n v="0.72"/>
    <n v="9.7100000000000009"/>
    <x v="1"/>
  </r>
  <r>
    <s v="TXN-00794"/>
    <x v="491"/>
    <x v="3"/>
    <s v="C001"/>
    <s v="Apex Solutions"/>
    <x v="0"/>
    <s v="New York"/>
    <s v="PRD-013"/>
    <x v="4"/>
    <x v="2"/>
    <s v="Eva Patel"/>
    <x v="3"/>
    <n v="13"/>
    <n v="229.99"/>
    <n v="2989.87"/>
    <n v="0.05"/>
    <n v="149.49"/>
    <n v="2840.38"/>
    <n v="227.23"/>
    <n v="3067.61"/>
    <x v="1"/>
  </r>
  <r>
    <s v="TXN-00749"/>
    <x v="492"/>
    <x v="3"/>
    <s v="C002"/>
    <s v="Blue Ridge Corp"/>
    <x v="1"/>
    <s v="Atlanta"/>
    <s v="PRD-011"/>
    <x v="7"/>
    <x v="1"/>
    <s v="Alice Morgan"/>
    <x v="0"/>
    <n v="16"/>
    <n v="249.99"/>
    <n v="3999.84"/>
    <n v="0.05"/>
    <n v="199.99"/>
    <n v="3799.85"/>
    <n v="303.99"/>
    <n v="4103.84"/>
    <x v="2"/>
  </r>
  <r>
    <s v="TXN-00612"/>
    <x v="493"/>
    <x v="3"/>
    <s v="C002"/>
    <s v="Blue Ridge Corp"/>
    <x v="1"/>
    <s v="Atlanta"/>
    <s v="PRD-004"/>
    <x v="8"/>
    <x v="2"/>
    <s v="Bob Chen"/>
    <x v="4"/>
    <n v="4"/>
    <n v="349.99"/>
    <n v="1399.96"/>
    <n v="0"/>
    <n v="0"/>
    <n v="1399.96"/>
    <n v="112"/>
    <n v="0"/>
    <x v="0"/>
  </r>
  <r>
    <s v="TXN-00694"/>
    <x v="494"/>
    <x v="3"/>
    <s v="C008"/>
    <s v="Horizon Group"/>
    <x v="2"/>
    <s v="Seattle"/>
    <s v="PRD-012"/>
    <x v="6"/>
    <x v="0"/>
    <s v="Eva Patel"/>
    <x v="2"/>
    <n v="17"/>
    <n v="5.99"/>
    <n v="101.83"/>
    <n v="0.05"/>
    <n v="5.09"/>
    <n v="96.74"/>
    <n v="7.74"/>
    <n v="104.48"/>
    <x v="1"/>
  </r>
  <r>
    <s v="TXN-00795"/>
    <x v="495"/>
    <x v="3"/>
    <s v="C011"/>
    <s v="Keystone Ventures"/>
    <x v="3"/>
    <s v="Washington DC"/>
    <s v="PRD-001"/>
    <x v="5"/>
    <x v="1"/>
    <s v="Alice Morgan"/>
    <x v="4"/>
    <n v="25"/>
    <n v="1199.99"/>
    <n v="29999.75"/>
    <n v="0.08"/>
    <n v="2399.98"/>
    <n v="27599.77"/>
    <n v="2207.98"/>
    <n v="29807.75"/>
    <x v="1"/>
  </r>
  <r>
    <s v="TXN-00662"/>
    <x v="496"/>
    <x v="3"/>
    <s v="C015"/>
    <s v="Orbit Industries"/>
    <x v="1"/>
    <s v="Houston"/>
    <s v="PRD-010"/>
    <x v="1"/>
    <x v="1"/>
    <s v="David Kim"/>
    <x v="3"/>
    <n v="21"/>
    <n v="89.99"/>
    <n v="1889.79"/>
    <n v="0.08"/>
    <n v="151.18"/>
    <n v="1738.61"/>
    <n v="139.09"/>
    <n v="1877.7"/>
    <x v="1"/>
  </r>
  <r>
    <s v="TXN-00778"/>
    <x v="496"/>
    <x v="3"/>
    <s v="C009"/>
    <s v="Ironclad Partners"/>
    <x v="0"/>
    <s v="Detroit"/>
    <s v="PRD-009"/>
    <x v="2"/>
    <x v="2"/>
    <s v="Carol Davis"/>
    <x v="3"/>
    <n v="29"/>
    <n v="39.99"/>
    <n v="1159.71"/>
    <n v="0.08"/>
    <n v="92.78"/>
    <n v="1066.93"/>
    <n v="85.35"/>
    <n v="1152.28"/>
    <x v="1"/>
  </r>
  <r>
    <s v="TXN-00727"/>
    <x v="497"/>
    <x v="3"/>
    <s v="C001"/>
    <s v="Apex Solutions"/>
    <x v="0"/>
    <s v="New York"/>
    <s v="PRD-011"/>
    <x v="7"/>
    <x v="1"/>
    <s v="Alice Morgan"/>
    <x v="1"/>
    <n v="7"/>
    <n v="249.99"/>
    <n v="1749.93"/>
    <n v="0.08"/>
    <n v="139.99"/>
    <n v="1609.94"/>
    <n v="128.80000000000001"/>
    <n v="1738.74"/>
    <x v="1"/>
  </r>
  <r>
    <s v="TXN-00716"/>
    <x v="498"/>
    <x v="3"/>
    <s v="C011"/>
    <s v="Keystone Ventures"/>
    <x v="3"/>
    <s v="Washington DC"/>
    <s v="PRD-015"/>
    <x v="11"/>
    <x v="0"/>
    <s v="Carol Davis"/>
    <x v="0"/>
    <n v="28"/>
    <n v="79.989999999999995"/>
    <n v="2239.7199999999998"/>
    <n v="0.08"/>
    <n v="179.18"/>
    <n v="2060.54"/>
    <n v="164.84"/>
    <n v="2225.38"/>
    <x v="1"/>
  </r>
  <r>
    <s v="TXN-00642"/>
    <x v="499"/>
    <x v="3"/>
    <s v="C015"/>
    <s v="Orbit Industries"/>
    <x v="1"/>
    <s v="Houston"/>
    <s v="PRD-006"/>
    <x v="0"/>
    <x v="0"/>
    <s v="Eva Patel"/>
    <x v="4"/>
    <n v="11"/>
    <n v="8.99"/>
    <n v="98.89"/>
    <n v="0.05"/>
    <n v="4.9400000000000004"/>
    <n v="93.95"/>
    <n v="7.52"/>
    <n v="101.47"/>
    <x v="1"/>
  </r>
  <r>
    <s v="TXN-00791"/>
    <x v="500"/>
    <x v="3"/>
    <s v="C005"/>
    <s v="Eagle Tech"/>
    <x v="0"/>
    <s v="Chicago"/>
    <s v="PRD-012"/>
    <x v="6"/>
    <x v="0"/>
    <s v="Carol Davis"/>
    <x v="4"/>
    <n v="21"/>
    <n v="5.99"/>
    <n v="125.79"/>
    <n v="0.08"/>
    <n v="10.06"/>
    <n v="115.73"/>
    <n v="9.26"/>
    <n v="124.99"/>
    <x v="2"/>
  </r>
  <r>
    <s v="TXN-00725"/>
    <x v="501"/>
    <x v="3"/>
    <s v="C015"/>
    <s v="Orbit Industries"/>
    <x v="1"/>
    <s v="Houston"/>
    <s v="PRD-010"/>
    <x v="1"/>
    <x v="1"/>
    <s v="David Kim"/>
    <x v="4"/>
    <n v="28"/>
    <n v="89.99"/>
    <n v="2519.7199999999998"/>
    <n v="0.08"/>
    <n v="201.58"/>
    <n v="2318.14"/>
    <n v="185.45"/>
    <n v="2503.59"/>
    <x v="1"/>
  </r>
  <r>
    <s v="TXN-00714"/>
    <x v="502"/>
    <x v="3"/>
    <s v="C007"/>
    <s v="Global Dynamics"/>
    <x v="3"/>
    <s v="Philadelphia"/>
    <s v="PRD-007"/>
    <x v="13"/>
    <x v="1"/>
    <s v="Alice Morgan"/>
    <x v="0"/>
    <n v="19"/>
    <n v="129.99"/>
    <n v="2469.81"/>
    <n v="0.05"/>
    <n v="123.49"/>
    <n v="2346.3200000000002"/>
    <n v="187.71"/>
    <n v="2534.0300000000002"/>
    <x v="2"/>
  </r>
  <r>
    <s v="TXN-00780"/>
    <x v="502"/>
    <x v="3"/>
    <s v="C002"/>
    <s v="Blue Ridge Corp"/>
    <x v="1"/>
    <s v="Atlanta"/>
    <s v="PRD-004"/>
    <x v="8"/>
    <x v="2"/>
    <s v="David Kim"/>
    <x v="4"/>
    <n v="27"/>
    <n v="349.99"/>
    <n v="9449.73"/>
    <n v="0.08"/>
    <n v="755.98"/>
    <n v="8693.75"/>
    <n v="695.5"/>
    <n v="9389.25"/>
    <x v="1"/>
  </r>
  <r>
    <s v="TXN-00722"/>
    <x v="503"/>
    <x v="3"/>
    <s v="C010"/>
    <s v="Jade Innovations"/>
    <x v="2"/>
    <s v="San Francisco"/>
    <s v="PRD-010"/>
    <x v="1"/>
    <x v="1"/>
    <s v="Eva Patel"/>
    <x v="3"/>
    <n v="29"/>
    <n v="89.99"/>
    <n v="2609.71"/>
    <n v="0.08"/>
    <n v="208.78"/>
    <n v="2400.9299999999998"/>
    <n v="192.07"/>
    <n v="2593"/>
    <x v="1"/>
  </r>
  <r>
    <s v="TXN-00779"/>
    <x v="504"/>
    <x v="3"/>
    <s v="C003"/>
    <s v="Crestview Ltd"/>
    <x v="3"/>
    <s v="Boston"/>
    <s v="PRD-008"/>
    <x v="12"/>
    <x v="1"/>
    <s v="David Kim"/>
    <x v="3"/>
    <n v="20"/>
    <n v="399.99"/>
    <n v="7999.8"/>
    <n v="0.08"/>
    <n v="639.98"/>
    <n v="7359.82"/>
    <n v="588.79"/>
    <n v="7948.61"/>
    <x v="1"/>
  </r>
  <r>
    <s v="TXN-00696"/>
    <x v="505"/>
    <x v="3"/>
    <s v="C010"/>
    <s v="Jade Innovations"/>
    <x v="2"/>
    <s v="San Francisco"/>
    <s v="PRD-015"/>
    <x v="11"/>
    <x v="0"/>
    <s v="Alice Morgan"/>
    <x v="4"/>
    <n v="29"/>
    <n v="79.989999999999995"/>
    <n v="2319.71"/>
    <n v="0.08"/>
    <n v="185.58"/>
    <n v="2134.13"/>
    <n v="170.73"/>
    <n v="2304.86"/>
    <x v="1"/>
  </r>
  <r>
    <s v="TXN-00745"/>
    <x v="505"/>
    <x v="3"/>
    <s v="C002"/>
    <s v="Blue Ridge Corp"/>
    <x v="1"/>
    <s v="Atlanta"/>
    <s v="PRD-005"/>
    <x v="3"/>
    <x v="2"/>
    <s v="Alice Morgan"/>
    <x v="1"/>
    <n v="20"/>
    <n v="599.99"/>
    <n v="11999.8"/>
    <n v="0.16"/>
    <n v="1919.97"/>
    <n v="10079.83"/>
    <n v="806.39"/>
    <n v="10886.22"/>
    <x v="1"/>
  </r>
  <r>
    <s v="TXN-00747"/>
    <x v="506"/>
    <x v="3"/>
    <s v="C003"/>
    <s v="Crestview Ltd"/>
    <x v="3"/>
    <s v="Boston"/>
    <s v="PRD-005"/>
    <x v="3"/>
    <x v="2"/>
    <s v="Alice Morgan"/>
    <x v="0"/>
    <n v="30"/>
    <n v="599.99"/>
    <n v="17999.7"/>
    <n v="0.08"/>
    <n v="1439.98"/>
    <n v="16559.72"/>
    <n v="1324.78"/>
    <n v="17884.5"/>
    <x v="1"/>
  </r>
  <r>
    <s v="TXN-00654"/>
    <x v="507"/>
    <x v="3"/>
    <s v="C015"/>
    <s v="Orbit Industries"/>
    <x v="1"/>
    <s v="Houston"/>
    <s v="PRD-012"/>
    <x v="6"/>
    <x v="0"/>
    <s v="Carol Davis"/>
    <x v="1"/>
    <n v="9"/>
    <n v="5.99"/>
    <n v="53.91"/>
    <n v="0.08"/>
    <n v="4.3099999999999996"/>
    <n v="49.6"/>
    <n v="3.97"/>
    <n v="53.57"/>
    <x v="1"/>
  </r>
  <r>
    <s v="TXN-00706"/>
    <x v="508"/>
    <x v="3"/>
    <s v="C007"/>
    <s v="Global Dynamics"/>
    <x v="3"/>
    <s v="Philadelphia"/>
    <s v="PRD-005"/>
    <x v="3"/>
    <x v="2"/>
    <s v="David Kim"/>
    <x v="2"/>
    <n v="9"/>
    <n v="599.99"/>
    <n v="5399.91"/>
    <n v="0"/>
    <n v="0"/>
    <n v="5399.91"/>
    <n v="431.99"/>
    <n v="5831.9"/>
    <x v="1"/>
  </r>
  <r>
    <s v="TXN-00620"/>
    <x v="509"/>
    <x v="3"/>
    <s v="C013"/>
    <s v="Maverick Systems"/>
    <x v="0"/>
    <s v="Minneapolis"/>
    <s v="PRD-013"/>
    <x v="4"/>
    <x v="2"/>
    <s v="Bob Chen"/>
    <x v="3"/>
    <n v="2"/>
    <n v="229.99"/>
    <n v="459.98"/>
    <n v="0"/>
    <n v="0"/>
    <n v="459.98"/>
    <n v="36.799999999999997"/>
    <n v="496.78"/>
    <x v="1"/>
  </r>
  <r>
    <s v="TXN-00762"/>
    <x v="510"/>
    <x v="3"/>
    <s v="C014"/>
    <s v="Nexus Trading"/>
    <x v="2"/>
    <s v="Denver"/>
    <s v="PRD-012"/>
    <x v="6"/>
    <x v="0"/>
    <s v="Eva Patel"/>
    <x v="0"/>
    <n v="19"/>
    <n v="5.99"/>
    <n v="113.81"/>
    <n v="0.05"/>
    <n v="5.69"/>
    <n v="108.12"/>
    <n v="8.65"/>
    <n v="116.77"/>
    <x v="2"/>
  </r>
  <r>
    <s v="TXN-00702"/>
    <x v="511"/>
    <x v="3"/>
    <s v="C003"/>
    <s v="Crestview Ltd"/>
    <x v="3"/>
    <s v="Boston"/>
    <s v="PRD-001"/>
    <x v="5"/>
    <x v="1"/>
    <s v="Eva Patel"/>
    <x v="4"/>
    <n v="21"/>
    <n v="1199.99"/>
    <n v="25199.79"/>
    <n v="0.08"/>
    <n v="2015.98"/>
    <n v="23183.81"/>
    <n v="1854.7"/>
    <n v="25038.51"/>
    <x v="1"/>
  </r>
  <r>
    <s v="TXN-00605"/>
    <x v="512"/>
    <x v="3"/>
    <s v="C014"/>
    <s v="Nexus Trading"/>
    <x v="2"/>
    <s v="Denver"/>
    <s v="PRD-007"/>
    <x v="13"/>
    <x v="1"/>
    <s v="Carol Davis"/>
    <x v="3"/>
    <n v="17"/>
    <n v="129.99"/>
    <n v="2209.83"/>
    <n v="0.05"/>
    <n v="110.49"/>
    <n v="2099.34"/>
    <n v="167.95"/>
    <n v="2267.29"/>
    <x v="1"/>
  </r>
  <r>
    <s v="TXN-00652"/>
    <x v="512"/>
    <x v="3"/>
    <s v="C008"/>
    <s v="Horizon Group"/>
    <x v="2"/>
    <s v="Seattle"/>
    <s v="PRD-015"/>
    <x v="11"/>
    <x v="0"/>
    <s v="Bob Chen"/>
    <x v="2"/>
    <n v="3"/>
    <n v="79.989999999999995"/>
    <n v="239.97"/>
    <n v="0"/>
    <n v="0"/>
    <n v="239.97"/>
    <n v="19.2"/>
    <n v="259.17"/>
    <x v="2"/>
  </r>
  <r>
    <s v="TXN-00614"/>
    <x v="513"/>
    <x v="3"/>
    <s v="C006"/>
    <s v="Foxfire Inc"/>
    <x v="1"/>
    <s v="Miami"/>
    <s v="PRD-009"/>
    <x v="2"/>
    <x v="2"/>
    <s v="Bob Chen"/>
    <x v="1"/>
    <n v="15"/>
    <n v="39.99"/>
    <n v="599.85"/>
    <n v="0.13"/>
    <n v="77.98"/>
    <n v="521.87"/>
    <n v="41.75"/>
    <n v="563.62"/>
    <x v="1"/>
  </r>
  <r>
    <s v="TXN-00635"/>
    <x v="514"/>
    <x v="3"/>
    <s v="C003"/>
    <s v="Crestview Ltd"/>
    <x v="3"/>
    <s v="Boston"/>
    <s v="PRD-004"/>
    <x v="8"/>
    <x v="2"/>
    <s v="Alice Morgan"/>
    <x v="4"/>
    <n v="8"/>
    <n v="349.99"/>
    <n v="2799.92"/>
    <n v="0"/>
    <n v="0"/>
    <n v="2799.92"/>
    <n v="223.99"/>
    <n v="3023.91"/>
    <x v="2"/>
  </r>
  <r>
    <s v="TXN-00672"/>
    <x v="515"/>
    <x v="3"/>
    <s v="C008"/>
    <s v="Horizon Group"/>
    <x v="2"/>
    <s v="Seattle"/>
    <s v="PRD-005"/>
    <x v="3"/>
    <x v="2"/>
    <s v="David Kim"/>
    <x v="2"/>
    <n v="27"/>
    <n v="599.99"/>
    <n v="16199.73"/>
    <n v="0.08"/>
    <n v="1295.98"/>
    <n v="14903.75"/>
    <n v="1192.3"/>
    <n v="16096.05"/>
    <x v="1"/>
  </r>
  <r>
    <s v="TXN-00632"/>
    <x v="516"/>
    <x v="3"/>
    <s v="C015"/>
    <s v="Orbit Industries"/>
    <x v="1"/>
    <s v="Houston"/>
    <s v="PRD-006"/>
    <x v="0"/>
    <x v="0"/>
    <s v="Eva Patel"/>
    <x v="0"/>
    <n v="13"/>
    <n v="8.99"/>
    <n v="116.87"/>
    <n v="0.05"/>
    <n v="5.84"/>
    <n v="111.03"/>
    <n v="8.8800000000000008"/>
    <n v="119.91"/>
    <x v="1"/>
  </r>
  <r>
    <s v="TXN-00611"/>
    <x v="517"/>
    <x v="3"/>
    <s v="C013"/>
    <s v="Maverick Systems"/>
    <x v="0"/>
    <s v="Minneapolis"/>
    <s v="PRD-015"/>
    <x v="11"/>
    <x v="0"/>
    <s v="David Kim"/>
    <x v="2"/>
    <n v="15"/>
    <n v="79.989999999999995"/>
    <n v="1199.8499999999999"/>
    <n v="0.05"/>
    <n v="59.99"/>
    <n v="1139.8599999999999"/>
    <n v="91.19"/>
    <n v="1231.05"/>
    <x v="1"/>
  </r>
  <r>
    <s v="TXN-00687"/>
    <x v="518"/>
    <x v="3"/>
    <s v="C010"/>
    <s v="Jade Innovations"/>
    <x v="2"/>
    <s v="San Francisco"/>
    <s v="PRD-008"/>
    <x v="12"/>
    <x v="1"/>
    <s v="Eva Patel"/>
    <x v="1"/>
    <n v="6"/>
    <n v="399.99"/>
    <n v="2399.94"/>
    <n v="0.08"/>
    <n v="192"/>
    <n v="2207.94"/>
    <n v="176.64"/>
    <n v="2384.58"/>
    <x v="1"/>
  </r>
  <r>
    <s v="TXN-00709"/>
    <x v="518"/>
    <x v="3"/>
    <s v="C005"/>
    <s v="Eagle Tech"/>
    <x v="0"/>
    <s v="Chicago"/>
    <s v="PRD-005"/>
    <x v="3"/>
    <x v="2"/>
    <s v="Alice Morgan"/>
    <x v="1"/>
    <n v="11"/>
    <n v="599.99"/>
    <n v="6599.89"/>
    <n v="0.13"/>
    <n v="857.99"/>
    <n v="5741.9"/>
    <n v="459.35"/>
    <n v="6201.25"/>
    <x v="1"/>
  </r>
  <r>
    <s v="TXN-00626"/>
    <x v="519"/>
    <x v="3"/>
    <s v="C003"/>
    <s v="Crestview Ltd"/>
    <x v="3"/>
    <s v="Boston"/>
    <s v="PRD-007"/>
    <x v="13"/>
    <x v="1"/>
    <s v="Carol Davis"/>
    <x v="4"/>
    <n v="9"/>
    <n v="129.99"/>
    <n v="1169.9100000000001"/>
    <n v="0"/>
    <n v="0"/>
    <n v="1169.9100000000001"/>
    <n v="93.59"/>
    <n v="1263.5"/>
    <x v="1"/>
  </r>
  <r>
    <s v="TXN-00633"/>
    <x v="519"/>
    <x v="3"/>
    <s v="C001"/>
    <s v="Apex Solutions"/>
    <x v="0"/>
    <s v="New York"/>
    <s v="PRD-003"/>
    <x v="14"/>
    <x v="1"/>
    <s v="Carol Davis"/>
    <x v="0"/>
    <n v="1"/>
    <n v="49.99"/>
    <n v="49.99"/>
    <n v="0"/>
    <n v="0"/>
    <n v="49.99"/>
    <n v="4"/>
    <n v="53.99"/>
    <x v="1"/>
  </r>
  <r>
    <s v="TXN-00685"/>
    <x v="520"/>
    <x v="3"/>
    <s v="C002"/>
    <s v="Blue Ridge Corp"/>
    <x v="1"/>
    <s v="Atlanta"/>
    <s v="PRD-013"/>
    <x v="4"/>
    <x v="2"/>
    <s v="Alice Morgan"/>
    <x v="0"/>
    <n v="26"/>
    <n v="229.99"/>
    <n v="5979.74"/>
    <n v="0.08"/>
    <n v="478.38"/>
    <n v="5501.36"/>
    <n v="440.11"/>
    <n v="5941.47"/>
    <x v="1"/>
  </r>
  <r>
    <s v="TXN-00777"/>
    <x v="521"/>
    <x v="3"/>
    <s v="C001"/>
    <s v="Apex Solutions"/>
    <x v="0"/>
    <s v="New York"/>
    <s v="PRD-004"/>
    <x v="8"/>
    <x v="2"/>
    <s v="Carol Davis"/>
    <x v="2"/>
    <n v="26"/>
    <n v="349.99"/>
    <n v="9099.74"/>
    <n v="0.08"/>
    <n v="727.98"/>
    <n v="8371.76"/>
    <n v="669.74"/>
    <n v="9041.5"/>
    <x v="2"/>
  </r>
  <r>
    <s v="TXN-00720"/>
    <x v="522"/>
    <x v="3"/>
    <s v="C013"/>
    <s v="Maverick Systems"/>
    <x v="0"/>
    <s v="Minneapolis"/>
    <s v="PRD-007"/>
    <x v="13"/>
    <x v="1"/>
    <s v="Carol Davis"/>
    <x v="2"/>
    <n v="19"/>
    <n v="129.99"/>
    <n v="2469.81"/>
    <n v="0.05"/>
    <n v="123.49"/>
    <n v="2346.3200000000002"/>
    <n v="187.71"/>
    <n v="2534.0300000000002"/>
    <x v="1"/>
  </r>
  <r>
    <s v="TXN-00787"/>
    <x v="522"/>
    <x v="3"/>
    <s v="C010"/>
    <s v="Jade Innovations"/>
    <x v="2"/>
    <s v="San Francisco"/>
    <s v="PRD-007"/>
    <x v="13"/>
    <x v="1"/>
    <s v="Bob Chen"/>
    <x v="2"/>
    <n v="11"/>
    <n v="129.99"/>
    <n v="1429.89"/>
    <n v="0.05"/>
    <n v="71.489999999999995"/>
    <n v="1358.4"/>
    <n v="108.67"/>
    <n v="1467.07"/>
    <x v="1"/>
  </r>
  <r>
    <s v="TXN-00796"/>
    <x v="523"/>
    <x v="3"/>
    <s v="C011"/>
    <s v="Keystone Ventures"/>
    <x v="3"/>
    <s v="Washington DC"/>
    <s v="PRD-005"/>
    <x v="3"/>
    <x v="2"/>
    <s v="Carol Davis"/>
    <x v="4"/>
    <n v="23"/>
    <n v="599.99"/>
    <n v="13799.77"/>
    <n v="0.08"/>
    <n v="1103.98"/>
    <n v="12695.79"/>
    <n v="1015.66"/>
    <n v="13711.45"/>
    <x v="1"/>
  </r>
  <r>
    <s v="TXN-00691"/>
    <x v="524"/>
    <x v="3"/>
    <s v="C005"/>
    <s v="Eagle Tech"/>
    <x v="0"/>
    <s v="Chicago"/>
    <s v="PRD-005"/>
    <x v="3"/>
    <x v="2"/>
    <s v="David Kim"/>
    <x v="3"/>
    <n v="5"/>
    <n v="599.99"/>
    <n v="2999.95"/>
    <n v="0"/>
    <n v="0"/>
    <n v="2999.95"/>
    <n v="240"/>
    <n v="3239.95"/>
    <x v="1"/>
  </r>
  <r>
    <s v="TXN-00645"/>
    <x v="525"/>
    <x v="3"/>
    <s v="C006"/>
    <s v="Foxfire Inc"/>
    <x v="1"/>
    <s v="Miami"/>
    <s v="PRD-002"/>
    <x v="9"/>
    <x v="1"/>
    <s v="David Kim"/>
    <x v="0"/>
    <n v="11"/>
    <n v="29.99"/>
    <n v="329.89"/>
    <n v="0.05"/>
    <n v="16.489999999999998"/>
    <n v="313.39999999999998"/>
    <n v="25.07"/>
    <n v="338.47"/>
    <x v="1"/>
  </r>
  <r>
    <s v="TXN-00690"/>
    <x v="526"/>
    <x v="3"/>
    <s v="C005"/>
    <s v="Eagle Tech"/>
    <x v="0"/>
    <s v="Chicago"/>
    <s v="PRD-015"/>
    <x v="11"/>
    <x v="0"/>
    <s v="Carol Davis"/>
    <x v="3"/>
    <n v="27"/>
    <n v="79.989999999999995"/>
    <n v="2159.73"/>
    <n v="0.08"/>
    <n v="172.78"/>
    <n v="1986.95"/>
    <n v="158.96"/>
    <n v="2145.91"/>
    <x v="1"/>
  </r>
  <r>
    <s v="TXN-00733"/>
    <x v="527"/>
    <x v="3"/>
    <s v="C003"/>
    <s v="Crestview Ltd"/>
    <x v="3"/>
    <s v="Boston"/>
    <s v="PRD-005"/>
    <x v="3"/>
    <x v="2"/>
    <s v="Alice Morgan"/>
    <x v="1"/>
    <n v="19"/>
    <n v="599.99"/>
    <n v="11399.81"/>
    <n v="0.13"/>
    <n v="1481.98"/>
    <n v="9917.83"/>
    <n v="793.43"/>
    <n v="0"/>
    <x v="0"/>
  </r>
  <r>
    <s v="TXN-00719"/>
    <x v="528"/>
    <x v="3"/>
    <s v="C002"/>
    <s v="Blue Ridge Corp"/>
    <x v="1"/>
    <s v="Atlanta"/>
    <s v="PRD-011"/>
    <x v="7"/>
    <x v="1"/>
    <s v="Bob Chen"/>
    <x v="2"/>
    <n v="24"/>
    <n v="249.99"/>
    <n v="5999.76"/>
    <n v="0.08"/>
    <n v="479.98"/>
    <n v="5519.78"/>
    <n v="441.58"/>
    <n v="5961.36"/>
    <x v="1"/>
  </r>
  <r>
    <s v="TXN-00726"/>
    <x v="529"/>
    <x v="3"/>
    <s v="C002"/>
    <s v="Blue Ridge Corp"/>
    <x v="1"/>
    <s v="Atlanta"/>
    <s v="PRD-013"/>
    <x v="4"/>
    <x v="2"/>
    <s v="David Kim"/>
    <x v="2"/>
    <n v="6"/>
    <n v="229.99"/>
    <n v="1379.94"/>
    <n v="0"/>
    <n v="0"/>
    <n v="1379.94"/>
    <n v="110.4"/>
    <n v="1490.34"/>
    <x v="2"/>
  </r>
  <r>
    <s v="TXN-00789"/>
    <x v="529"/>
    <x v="3"/>
    <s v="C012"/>
    <s v="Luminary Co"/>
    <x v="1"/>
    <s v="Dallas"/>
    <s v="PRD-015"/>
    <x v="11"/>
    <x v="0"/>
    <s v="Eva Patel"/>
    <x v="2"/>
    <n v="18"/>
    <n v="79.989999999999995"/>
    <n v="1439.82"/>
    <n v="0.05"/>
    <n v="71.989999999999995"/>
    <n v="1367.83"/>
    <n v="109.43"/>
    <n v="1477.26"/>
    <x v="2"/>
  </r>
  <r>
    <s v="TXN-00610"/>
    <x v="530"/>
    <x v="3"/>
    <s v="C011"/>
    <s v="Keystone Ventures"/>
    <x v="3"/>
    <s v="Washington DC"/>
    <s v="PRD-007"/>
    <x v="13"/>
    <x v="1"/>
    <s v="Bob Chen"/>
    <x v="4"/>
    <n v="9"/>
    <n v="129.99"/>
    <n v="1169.9100000000001"/>
    <n v="0"/>
    <n v="0"/>
    <n v="1169.9100000000001"/>
    <n v="93.59"/>
    <n v="1263.5"/>
    <x v="1"/>
  </r>
  <r>
    <s v="TXN-00637"/>
    <x v="531"/>
    <x v="3"/>
    <s v="C015"/>
    <s v="Orbit Industries"/>
    <x v="1"/>
    <s v="Houston"/>
    <s v="PRD-006"/>
    <x v="0"/>
    <x v="0"/>
    <s v="Bob Chen"/>
    <x v="4"/>
    <n v="19"/>
    <n v="8.99"/>
    <n v="170.81"/>
    <n v="0.05"/>
    <n v="8.5399999999999991"/>
    <n v="162.27000000000001"/>
    <n v="12.98"/>
    <n v="175.25"/>
    <x v="1"/>
  </r>
  <r>
    <s v="TXN-00650"/>
    <x v="531"/>
    <x v="3"/>
    <s v="C013"/>
    <s v="Maverick Systems"/>
    <x v="0"/>
    <s v="Minneapolis"/>
    <s v="PRD-014"/>
    <x v="10"/>
    <x v="1"/>
    <s v="Eva Patel"/>
    <x v="3"/>
    <n v="20"/>
    <n v="479.99"/>
    <n v="9599.7999999999993"/>
    <n v="0.08"/>
    <n v="767.98"/>
    <n v="8831.82"/>
    <n v="706.55"/>
    <n v="9538.3700000000008"/>
    <x v="1"/>
  </r>
  <r>
    <s v="TXN-00623"/>
    <x v="532"/>
    <x v="3"/>
    <s v="C015"/>
    <s v="Orbit Industries"/>
    <x v="1"/>
    <s v="Houston"/>
    <s v="PRD-004"/>
    <x v="8"/>
    <x v="2"/>
    <s v="David Kim"/>
    <x v="4"/>
    <n v="29"/>
    <n v="349.99"/>
    <n v="10149.709999999999"/>
    <n v="0.08"/>
    <n v="811.98"/>
    <n v="9337.73"/>
    <n v="747.02"/>
    <n v="10084.75"/>
    <x v="1"/>
  </r>
  <r>
    <s v="TXN-00663"/>
    <x v="532"/>
    <x v="3"/>
    <s v="C015"/>
    <s v="Orbit Industries"/>
    <x v="1"/>
    <s v="Houston"/>
    <s v="PRD-010"/>
    <x v="1"/>
    <x v="1"/>
    <s v="David Kim"/>
    <x v="4"/>
    <n v="4"/>
    <n v="89.99"/>
    <n v="359.96"/>
    <n v="0"/>
    <n v="0"/>
    <n v="359.96"/>
    <n v="28.8"/>
    <n v="388.76"/>
    <x v="1"/>
  </r>
  <r>
    <s v="TXN-00767"/>
    <x v="532"/>
    <x v="3"/>
    <s v="C003"/>
    <s v="Crestview Ltd"/>
    <x v="3"/>
    <s v="Boston"/>
    <s v="PRD-014"/>
    <x v="10"/>
    <x v="1"/>
    <s v="Alice Morgan"/>
    <x v="1"/>
    <n v="8"/>
    <n v="479.99"/>
    <n v="3839.92"/>
    <n v="0.08"/>
    <n v="307.19"/>
    <n v="3532.73"/>
    <n v="282.62"/>
    <n v="3815.35"/>
    <x v="1"/>
  </r>
  <r>
    <s v="TXN-00718"/>
    <x v="533"/>
    <x v="3"/>
    <s v="C012"/>
    <s v="Luminary Co"/>
    <x v="1"/>
    <s v="Dallas"/>
    <s v="PRD-003"/>
    <x v="14"/>
    <x v="1"/>
    <s v="Carol Davis"/>
    <x v="0"/>
    <n v="22"/>
    <n v="49.99"/>
    <n v="1099.78"/>
    <n v="0.08"/>
    <n v="87.98"/>
    <n v="1011.8"/>
    <n v="80.94"/>
    <n v="1092.74"/>
    <x v="1"/>
  </r>
  <r>
    <s v="TXN-00735"/>
    <x v="534"/>
    <x v="3"/>
    <s v="C009"/>
    <s v="Ironclad Partners"/>
    <x v="0"/>
    <s v="Detroit"/>
    <s v="PRD-010"/>
    <x v="1"/>
    <x v="1"/>
    <s v="Carol Davis"/>
    <x v="1"/>
    <n v="5"/>
    <n v="89.99"/>
    <n v="449.95"/>
    <n v="0.08"/>
    <n v="36"/>
    <n v="413.95"/>
    <n v="33.119999999999997"/>
    <n v="447.07"/>
    <x v="2"/>
  </r>
  <r>
    <s v="TXN-00673"/>
    <x v="535"/>
    <x v="3"/>
    <s v="C001"/>
    <s v="Apex Solutions"/>
    <x v="0"/>
    <s v="New York"/>
    <s v="PRD-010"/>
    <x v="1"/>
    <x v="1"/>
    <s v="Bob Chen"/>
    <x v="3"/>
    <n v="22"/>
    <n v="89.99"/>
    <n v="1979.78"/>
    <n v="0.08"/>
    <n v="158.38"/>
    <n v="1821.4"/>
    <n v="145.71"/>
    <n v="1967.11"/>
    <x v="1"/>
  </r>
  <r>
    <s v="TXN-00732"/>
    <x v="535"/>
    <x v="3"/>
    <s v="C012"/>
    <s v="Luminary Co"/>
    <x v="1"/>
    <s v="Dallas"/>
    <s v="PRD-011"/>
    <x v="7"/>
    <x v="1"/>
    <s v="Bob Chen"/>
    <x v="4"/>
    <n v="29"/>
    <n v="249.99"/>
    <n v="7249.71"/>
    <n v="0.08"/>
    <n v="579.98"/>
    <n v="6669.73"/>
    <n v="533.58000000000004"/>
    <n v="7203.31"/>
    <x v="2"/>
  </r>
  <r>
    <s v="TXN-00700"/>
    <x v="536"/>
    <x v="3"/>
    <s v="C008"/>
    <s v="Horizon Group"/>
    <x v="2"/>
    <s v="Seattle"/>
    <s v="PRD-010"/>
    <x v="1"/>
    <x v="1"/>
    <s v="Bob Chen"/>
    <x v="1"/>
    <n v="18"/>
    <n v="89.99"/>
    <n v="1619.82"/>
    <n v="0.13"/>
    <n v="210.58"/>
    <n v="1409.24"/>
    <n v="112.74"/>
    <n v="0"/>
    <x v="0"/>
  </r>
  <r>
    <s v="TXN-00759"/>
    <x v="537"/>
    <x v="3"/>
    <s v="C008"/>
    <s v="Horizon Group"/>
    <x v="2"/>
    <s v="Seattle"/>
    <s v="PRD-011"/>
    <x v="7"/>
    <x v="1"/>
    <s v="Bob Chen"/>
    <x v="0"/>
    <n v="25"/>
    <n v="249.99"/>
    <n v="6249.75"/>
    <n v="0.08"/>
    <n v="499.98"/>
    <n v="5749.77"/>
    <n v="459.98"/>
    <n v="6209.75"/>
    <x v="1"/>
  </r>
  <r>
    <s v="TXN-00666"/>
    <x v="538"/>
    <x v="3"/>
    <s v="C010"/>
    <s v="Jade Innovations"/>
    <x v="2"/>
    <s v="San Francisco"/>
    <s v="PRD-007"/>
    <x v="13"/>
    <x v="1"/>
    <s v="Eva Patel"/>
    <x v="1"/>
    <n v="2"/>
    <n v="129.99"/>
    <n v="259.98"/>
    <n v="0.08"/>
    <n v="20.8"/>
    <n v="239.18"/>
    <n v="19.13"/>
    <n v="258.31"/>
    <x v="1"/>
  </r>
  <r>
    <s v="TXN-00697"/>
    <x v="538"/>
    <x v="3"/>
    <s v="C001"/>
    <s v="Apex Solutions"/>
    <x v="0"/>
    <s v="New York"/>
    <s v="PRD-014"/>
    <x v="10"/>
    <x v="1"/>
    <s v="Bob Chen"/>
    <x v="3"/>
    <n v="2"/>
    <n v="479.99"/>
    <n v="959.98"/>
    <n v="0"/>
    <n v="0"/>
    <n v="959.98"/>
    <n v="76.8"/>
    <n v="1036.78"/>
    <x v="1"/>
  </r>
  <r>
    <s v="TXN-00644"/>
    <x v="539"/>
    <x v="3"/>
    <s v="C015"/>
    <s v="Orbit Industries"/>
    <x v="1"/>
    <s v="Houston"/>
    <s v="PRD-012"/>
    <x v="6"/>
    <x v="0"/>
    <s v="Bob Chen"/>
    <x v="3"/>
    <n v="28"/>
    <n v="5.99"/>
    <n v="167.72"/>
    <n v="0.08"/>
    <n v="13.42"/>
    <n v="154.30000000000001"/>
    <n v="12.34"/>
    <n v="0"/>
    <x v="0"/>
  </r>
  <r>
    <s v="TXN-00601"/>
    <x v="540"/>
    <x v="3"/>
    <s v="C013"/>
    <s v="Maverick Systems"/>
    <x v="0"/>
    <s v="Minneapolis"/>
    <s v="PRD-010"/>
    <x v="1"/>
    <x v="1"/>
    <s v="Carol Davis"/>
    <x v="0"/>
    <n v="15"/>
    <n v="89.99"/>
    <n v="1349.85"/>
    <n v="0.05"/>
    <n v="67.489999999999995"/>
    <n v="1282.3599999999999"/>
    <n v="102.59"/>
    <n v="1384.95"/>
    <x v="1"/>
  </r>
  <r>
    <s v="TXN-00607"/>
    <x v="541"/>
    <x v="3"/>
    <s v="C015"/>
    <s v="Orbit Industries"/>
    <x v="1"/>
    <s v="Houston"/>
    <s v="PRD-001"/>
    <x v="5"/>
    <x v="1"/>
    <s v="Bob Chen"/>
    <x v="0"/>
    <n v="23"/>
    <n v="1199.99"/>
    <n v="27599.77"/>
    <n v="0.08"/>
    <n v="2207.98"/>
    <n v="25391.79"/>
    <n v="2031.34"/>
    <n v="27423.13"/>
    <x v="1"/>
  </r>
  <r>
    <s v="TXN-00660"/>
    <x v="542"/>
    <x v="3"/>
    <s v="C005"/>
    <s v="Eagle Tech"/>
    <x v="0"/>
    <s v="Chicago"/>
    <s v="PRD-006"/>
    <x v="0"/>
    <x v="0"/>
    <s v="Alice Morgan"/>
    <x v="3"/>
    <n v="6"/>
    <n v="8.99"/>
    <n v="53.94"/>
    <n v="0"/>
    <n v="0"/>
    <n v="53.94"/>
    <n v="4.32"/>
    <n v="58.26"/>
    <x v="1"/>
  </r>
  <r>
    <s v="TXN-00768"/>
    <x v="543"/>
    <x v="3"/>
    <s v="C001"/>
    <s v="Apex Solutions"/>
    <x v="0"/>
    <s v="New York"/>
    <s v="PRD-005"/>
    <x v="3"/>
    <x v="2"/>
    <s v="Eva Patel"/>
    <x v="4"/>
    <n v="21"/>
    <n v="599.99"/>
    <n v="12599.79"/>
    <n v="0.08"/>
    <n v="1007.98"/>
    <n v="11591.81"/>
    <n v="927.34"/>
    <n v="0"/>
    <x v="0"/>
  </r>
  <r>
    <s v="TXN-00729"/>
    <x v="544"/>
    <x v="3"/>
    <s v="C011"/>
    <s v="Keystone Ventures"/>
    <x v="3"/>
    <s v="Washington DC"/>
    <s v="PRD-007"/>
    <x v="13"/>
    <x v="1"/>
    <s v="David Kim"/>
    <x v="1"/>
    <n v="16"/>
    <n v="129.99"/>
    <n v="2079.84"/>
    <n v="0.13"/>
    <n v="270.38"/>
    <n v="1809.46"/>
    <n v="144.76"/>
    <n v="1954.22"/>
    <x v="1"/>
  </r>
  <r>
    <s v="TXN-00786"/>
    <x v="544"/>
    <x v="3"/>
    <s v="C007"/>
    <s v="Global Dynamics"/>
    <x v="3"/>
    <s v="Philadelphia"/>
    <s v="PRD-002"/>
    <x v="9"/>
    <x v="1"/>
    <s v="Eva Patel"/>
    <x v="0"/>
    <n v="17"/>
    <n v="29.99"/>
    <n v="509.83"/>
    <n v="0.05"/>
    <n v="25.49"/>
    <n v="484.34"/>
    <n v="38.75"/>
    <n v="523.09"/>
    <x v="1"/>
  </r>
  <r>
    <s v="TXN-00701"/>
    <x v="545"/>
    <x v="3"/>
    <s v="C003"/>
    <s v="Crestview Ltd"/>
    <x v="3"/>
    <s v="Boston"/>
    <s v="PRD-006"/>
    <x v="0"/>
    <x v="0"/>
    <s v="Carol Davis"/>
    <x v="3"/>
    <n v="1"/>
    <n v="8.99"/>
    <n v="8.99"/>
    <n v="0"/>
    <n v="0"/>
    <n v="8.99"/>
    <n v="0.72"/>
    <n v="9.7100000000000009"/>
    <x v="1"/>
  </r>
  <r>
    <s v="TXN-00636"/>
    <x v="546"/>
    <x v="3"/>
    <s v="C014"/>
    <s v="Nexus Trading"/>
    <x v="2"/>
    <s v="Denver"/>
    <s v="PRD-009"/>
    <x v="2"/>
    <x v="2"/>
    <s v="Alice Morgan"/>
    <x v="4"/>
    <n v="28"/>
    <n v="39.99"/>
    <n v="1119.72"/>
    <n v="0.08"/>
    <n v="89.58"/>
    <n v="1030.1400000000001"/>
    <n v="82.41"/>
    <n v="0"/>
    <x v="0"/>
  </r>
  <r>
    <s v="TXN-00670"/>
    <x v="546"/>
    <x v="3"/>
    <s v="C008"/>
    <s v="Horizon Group"/>
    <x v="2"/>
    <s v="Seattle"/>
    <s v="PRD-008"/>
    <x v="12"/>
    <x v="1"/>
    <s v="Carol Davis"/>
    <x v="3"/>
    <n v="18"/>
    <n v="399.99"/>
    <n v="7199.82"/>
    <n v="0.05"/>
    <n v="359.99"/>
    <n v="6839.83"/>
    <n v="547.19000000000005"/>
    <n v="7387.02"/>
    <x v="2"/>
  </r>
  <r>
    <s v="TXN-00649"/>
    <x v="547"/>
    <x v="3"/>
    <s v="C003"/>
    <s v="Crestview Ltd"/>
    <x v="3"/>
    <s v="Boston"/>
    <s v="PRD-005"/>
    <x v="3"/>
    <x v="2"/>
    <s v="Bob Chen"/>
    <x v="3"/>
    <n v="19"/>
    <n v="599.99"/>
    <n v="11399.81"/>
    <n v="0.05"/>
    <n v="569.99"/>
    <n v="10829.82"/>
    <n v="866.39"/>
    <n v="11696.21"/>
    <x v="2"/>
  </r>
  <r>
    <s v="TXN-00676"/>
    <x v="548"/>
    <x v="3"/>
    <s v="C015"/>
    <s v="Orbit Industries"/>
    <x v="1"/>
    <s v="Houston"/>
    <s v="PRD-010"/>
    <x v="1"/>
    <x v="1"/>
    <s v="Bob Chen"/>
    <x v="1"/>
    <n v="3"/>
    <n v="89.99"/>
    <n v="269.97000000000003"/>
    <n v="0.08"/>
    <n v="21.6"/>
    <n v="248.37"/>
    <n v="19.87"/>
    <n v="268.24"/>
    <x v="1"/>
  </r>
  <r>
    <s v="TXN-00669"/>
    <x v="549"/>
    <x v="3"/>
    <s v="C002"/>
    <s v="Blue Ridge Corp"/>
    <x v="1"/>
    <s v="Atlanta"/>
    <s v="PRD-005"/>
    <x v="3"/>
    <x v="2"/>
    <s v="David Kim"/>
    <x v="3"/>
    <n v="26"/>
    <n v="599.99"/>
    <n v="15599.74"/>
    <n v="0.08"/>
    <n v="1247.98"/>
    <n v="14351.76"/>
    <n v="1148.1400000000001"/>
    <n v="15499.9"/>
    <x v="1"/>
  </r>
  <r>
    <s v="TXN-00681"/>
    <x v="549"/>
    <x v="3"/>
    <s v="C006"/>
    <s v="Foxfire Inc"/>
    <x v="1"/>
    <s v="Miami"/>
    <s v="PRD-005"/>
    <x v="3"/>
    <x v="2"/>
    <s v="Alice Morgan"/>
    <x v="3"/>
    <n v="18"/>
    <n v="599.99"/>
    <n v="10799.82"/>
    <n v="0.05"/>
    <n v="539.99"/>
    <n v="10259.83"/>
    <n v="820.79"/>
    <n v="11080.62"/>
    <x v="1"/>
  </r>
  <r>
    <s v="TXN-00698"/>
    <x v="549"/>
    <x v="3"/>
    <s v="C004"/>
    <s v="Delta Enterprises"/>
    <x v="2"/>
    <s v="Los Angeles"/>
    <s v="PRD-012"/>
    <x v="6"/>
    <x v="0"/>
    <s v="Carol Davis"/>
    <x v="2"/>
    <n v="17"/>
    <n v="5.99"/>
    <n v="101.83"/>
    <n v="0.05"/>
    <n v="5.09"/>
    <n v="96.74"/>
    <n v="7.74"/>
    <n v="104.48"/>
    <x v="1"/>
  </r>
  <r>
    <s v="TXN-00688"/>
    <x v="550"/>
    <x v="3"/>
    <s v="C003"/>
    <s v="Crestview Ltd"/>
    <x v="3"/>
    <s v="Boston"/>
    <s v="PRD-007"/>
    <x v="13"/>
    <x v="1"/>
    <s v="Eva Patel"/>
    <x v="0"/>
    <n v="23"/>
    <n v="129.99"/>
    <n v="2989.77"/>
    <n v="0.08"/>
    <n v="239.18"/>
    <n v="2750.59"/>
    <n v="220.05"/>
    <n v="2970.64"/>
    <x v="2"/>
  </r>
  <r>
    <s v="TXN-00736"/>
    <x v="551"/>
    <x v="3"/>
    <s v="C008"/>
    <s v="Horizon Group"/>
    <x v="2"/>
    <s v="Seattle"/>
    <s v="PRD-015"/>
    <x v="11"/>
    <x v="0"/>
    <s v="Carol Davis"/>
    <x v="4"/>
    <n v="30"/>
    <n v="79.989999999999995"/>
    <n v="2399.6999999999998"/>
    <n v="0.08"/>
    <n v="191.98"/>
    <n v="2207.7199999999998"/>
    <n v="176.62"/>
    <n v="2384.34"/>
    <x v="1"/>
  </r>
  <r>
    <s v="TXN-00693"/>
    <x v="552"/>
    <x v="3"/>
    <s v="C002"/>
    <s v="Blue Ridge Corp"/>
    <x v="1"/>
    <s v="Atlanta"/>
    <s v="PRD-011"/>
    <x v="7"/>
    <x v="1"/>
    <s v="Bob Chen"/>
    <x v="1"/>
    <n v="30"/>
    <n v="249.99"/>
    <n v="7499.7"/>
    <n v="0.16"/>
    <n v="1199.95"/>
    <n v="6299.75"/>
    <n v="503.98"/>
    <n v="6803.73"/>
    <x v="1"/>
  </r>
  <r>
    <s v="TXN-00724"/>
    <x v="553"/>
    <x v="3"/>
    <s v="C014"/>
    <s v="Nexus Trading"/>
    <x v="2"/>
    <s v="Denver"/>
    <s v="PRD-014"/>
    <x v="10"/>
    <x v="1"/>
    <s v="Bob Chen"/>
    <x v="4"/>
    <n v="11"/>
    <n v="479.99"/>
    <n v="5279.89"/>
    <n v="0.05"/>
    <n v="263.99"/>
    <n v="5015.8999999999996"/>
    <n v="401.27"/>
    <n v="5417.17"/>
    <x v="1"/>
  </r>
  <r>
    <s v="TXN-00746"/>
    <x v="553"/>
    <x v="3"/>
    <s v="C005"/>
    <s v="Eagle Tech"/>
    <x v="0"/>
    <s v="Chicago"/>
    <s v="PRD-013"/>
    <x v="4"/>
    <x v="2"/>
    <s v="Eva Patel"/>
    <x v="4"/>
    <n v="23"/>
    <n v="229.99"/>
    <n v="5289.77"/>
    <n v="0.08"/>
    <n v="423.18"/>
    <n v="4866.59"/>
    <n v="389.33"/>
    <n v="5255.92"/>
    <x v="1"/>
  </r>
  <r>
    <s v="TXN-00760"/>
    <x v="554"/>
    <x v="3"/>
    <s v="C001"/>
    <s v="Apex Solutions"/>
    <x v="0"/>
    <s v="New York"/>
    <s v="PRD-010"/>
    <x v="1"/>
    <x v="1"/>
    <s v="Bob Chen"/>
    <x v="1"/>
    <n v="4"/>
    <n v="89.99"/>
    <n v="359.96"/>
    <n v="0.08"/>
    <n v="28.8"/>
    <n v="331.16"/>
    <n v="26.49"/>
    <n v="357.65"/>
    <x v="1"/>
  </r>
  <r>
    <s v="TXN-00629"/>
    <x v="555"/>
    <x v="3"/>
    <s v="C001"/>
    <s v="Apex Solutions"/>
    <x v="0"/>
    <s v="New York"/>
    <s v="PRD-008"/>
    <x v="12"/>
    <x v="1"/>
    <s v="Alice Morgan"/>
    <x v="2"/>
    <n v="5"/>
    <n v="399.99"/>
    <n v="1999.95"/>
    <n v="0"/>
    <n v="0"/>
    <n v="1999.95"/>
    <n v="160"/>
    <n v="2159.9499999999998"/>
    <x v="1"/>
  </r>
  <r>
    <s v="TXN-00656"/>
    <x v="555"/>
    <x v="3"/>
    <s v="C001"/>
    <s v="Apex Solutions"/>
    <x v="0"/>
    <s v="New York"/>
    <s v="PRD-012"/>
    <x v="6"/>
    <x v="0"/>
    <s v="Alice Morgan"/>
    <x v="1"/>
    <n v="24"/>
    <n v="5.99"/>
    <n v="143.76"/>
    <n v="0.16"/>
    <n v="23"/>
    <n v="120.76"/>
    <n v="9.66"/>
    <n v="130.41999999999999"/>
    <x v="1"/>
  </r>
  <r>
    <s v="TXN-00683"/>
    <x v="555"/>
    <x v="3"/>
    <s v="C012"/>
    <s v="Luminary Co"/>
    <x v="1"/>
    <s v="Dallas"/>
    <s v="PRD-013"/>
    <x v="4"/>
    <x v="2"/>
    <s v="Eva Patel"/>
    <x v="0"/>
    <n v="26"/>
    <n v="229.99"/>
    <n v="5979.74"/>
    <n v="0.08"/>
    <n v="478.38"/>
    <n v="5501.36"/>
    <n v="440.11"/>
    <n v="0"/>
    <x v="0"/>
  </r>
  <r>
    <s v="TXN-00713"/>
    <x v="555"/>
    <x v="3"/>
    <s v="C012"/>
    <s v="Luminary Co"/>
    <x v="1"/>
    <s v="Dallas"/>
    <s v="PRD-003"/>
    <x v="14"/>
    <x v="1"/>
    <s v="Alice Morgan"/>
    <x v="1"/>
    <n v="9"/>
    <n v="49.99"/>
    <n v="449.91"/>
    <n v="0.08"/>
    <n v="35.99"/>
    <n v="413.92"/>
    <n v="33.11"/>
    <n v="447.03"/>
    <x v="1"/>
  </r>
  <r>
    <s v="TXN-00679"/>
    <x v="556"/>
    <x v="3"/>
    <s v="C003"/>
    <s v="Crestview Ltd"/>
    <x v="3"/>
    <s v="Boston"/>
    <s v="PRD-003"/>
    <x v="14"/>
    <x v="1"/>
    <s v="Bob Chen"/>
    <x v="4"/>
    <n v="2"/>
    <n v="49.99"/>
    <n v="99.98"/>
    <n v="0"/>
    <n v="0"/>
    <n v="99.98"/>
    <n v="8"/>
    <n v="107.98"/>
    <x v="1"/>
  </r>
  <r>
    <s v="TXN-00793"/>
    <x v="556"/>
    <x v="3"/>
    <s v="C010"/>
    <s v="Jade Innovations"/>
    <x v="2"/>
    <s v="San Francisco"/>
    <s v="PRD-010"/>
    <x v="1"/>
    <x v="1"/>
    <s v="David Kim"/>
    <x v="0"/>
    <n v="29"/>
    <n v="89.99"/>
    <n v="2609.71"/>
    <n v="0.08"/>
    <n v="208.78"/>
    <n v="2400.9299999999998"/>
    <n v="192.07"/>
    <n v="2593"/>
    <x v="1"/>
  </r>
  <r>
    <s v="TXN-00754"/>
    <x v="557"/>
    <x v="3"/>
    <s v="C011"/>
    <s v="Keystone Ventures"/>
    <x v="3"/>
    <s v="Washington DC"/>
    <s v="PRD-011"/>
    <x v="7"/>
    <x v="1"/>
    <s v="Bob Chen"/>
    <x v="2"/>
    <n v="29"/>
    <n v="249.99"/>
    <n v="7249.71"/>
    <n v="0.08"/>
    <n v="579.98"/>
    <n v="6669.73"/>
    <n v="533.58000000000004"/>
    <n v="7203.31"/>
    <x v="1"/>
  </r>
  <r>
    <s v="TXN-00678"/>
    <x v="558"/>
    <x v="3"/>
    <s v="C010"/>
    <s v="Jade Innovations"/>
    <x v="2"/>
    <s v="San Francisco"/>
    <s v="PRD-013"/>
    <x v="4"/>
    <x v="2"/>
    <s v="Eva Patel"/>
    <x v="4"/>
    <n v="25"/>
    <n v="229.99"/>
    <n v="5749.75"/>
    <n v="0.08"/>
    <n v="459.98"/>
    <n v="5289.77"/>
    <n v="423.18"/>
    <n v="5712.95"/>
    <x v="1"/>
  </r>
  <r>
    <s v="TXN-00618"/>
    <x v="559"/>
    <x v="3"/>
    <s v="C005"/>
    <s v="Eagle Tech"/>
    <x v="0"/>
    <s v="Chicago"/>
    <s v="PRD-005"/>
    <x v="3"/>
    <x v="2"/>
    <s v="Bob Chen"/>
    <x v="3"/>
    <n v="28"/>
    <n v="599.99"/>
    <n v="16799.72"/>
    <n v="0.08"/>
    <n v="1343.98"/>
    <n v="15455.74"/>
    <n v="1236.46"/>
    <n v="16692.2"/>
    <x v="1"/>
  </r>
  <r>
    <s v="TXN-00797"/>
    <x v="559"/>
    <x v="3"/>
    <s v="C013"/>
    <s v="Maverick Systems"/>
    <x v="0"/>
    <s v="Minneapolis"/>
    <s v="PRD-004"/>
    <x v="8"/>
    <x v="2"/>
    <s v="Eva Patel"/>
    <x v="3"/>
    <n v="27"/>
    <n v="349.99"/>
    <n v="9449.73"/>
    <n v="0.08"/>
    <n v="755.98"/>
    <n v="8693.75"/>
    <n v="695.5"/>
    <n v="9389.25"/>
    <x v="1"/>
  </r>
  <r>
    <s v="TXN-00774"/>
    <x v="560"/>
    <x v="3"/>
    <s v="C006"/>
    <s v="Foxfire Inc"/>
    <x v="1"/>
    <s v="Miami"/>
    <s v="PRD-008"/>
    <x v="12"/>
    <x v="1"/>
    <s v="Carol Davis"/>
    <x v="3"/>
    <n v="28"/>
    <n v="399.99"/>
    <n v="11199.72"/>
    <n v="0.08"/>
    <n v="895.98"/>
    <n v="10303.74"/>
    <n v="824.3"/>
    <n v="11128.04"/>
    <x v="1"/>
  </r>
  <r>
    <s v="TXN-00751"/>
    <x v="561"/>
    <x v="3"/>
    <s v="C005"/>
    <s v="Eagle Tech"/>
    <x v="0"/>
    <s v="Chicago"/>
    <s v="PRD-015"/>
    <x v="11"/>
    <x v="0"/>
    <s v="Bob Chen"/>
    <x v="1"/>
    <n v="9"/>
    <n v="79.989999999999995"/>
    <n v="719.91"/>
    <n v="0.08"/>
    <n v="57.59"/>
    <n v="662.32"/>
    <n v="52.99"/>
    <n v="715.31"/>
    <x v="1"/>
  </r>
  <r>
    <s v="TXN-00717"/>
    <x v="562"/>
    <x v="3"/>
    <s v="C011"/>
    <s v="Keystone Ventures"/>
    <x v="3"/>
    <s v="Washington DC"/>
    <s v="PRD-014"/>
    <x v="10"/>
    <x v="1"/>
    <s v="Eva Patel"/>
    <x v="4"/>
    <n v="4"/>
    <n v="479.99"/>
    <n v="1919.96"/>
    <n v="0"/>
    <n v="0"/>
    <n v="1919.96"/>
    <n v="153.6"/>
    <n v="2073.56"/>
    <x v="1"/>
  </r>
  <r>
    <s v="TXN-00741"/>
    <x v="563"/>
    <x v="3"/>
    <s v="C008"/>
    <s v="Horizon Group"/>
    <x v="2"/>
    <s v="Seattle"/>
    <s v="PRD-007"/>
    <x v="13"/>
    <x v="1"/>
    <s v="David Kim"/>
    <x v="3"/>
    <n v="9"/>
    <n v="129.99"/>
    <n v="1169.9100000000001"/>
    <n v="0"/>
    <n v="0"/>
    <n v="1169.9100000000001"/>
    <n v="93.59"/>
    <n v="0"/>
    <x v="0"/>
  </r>
  <r>
    <s v="TXN-00675"/>
    <x v="564"/>
    <x v="3"/>
    <s v="C007"/>
    <s v="Global Dynamics"/>
    <x v="3"/>
    <s v="Philadelphia"/>
    <s v="PRD-014"/>
    <x v="10"/>
    <x v="1"/>
    <s v="Eva Patel"/>
    <x v="1"/>
    <n v="22"/>
    <n v="479.99"/>
    <n v="10559.78"/>
    <n v="0.16"/>
    <n v="1689.56"/>
    <n v="8870.2199999999993"/>
    <n v="709.62"/>
    <n v="0"/>
    <x v="0"/>
  </r>
  <r>
    <s v="TXN-00689"/>
    <x v="564"/>
    <x v="3"/>
    <s v="C007"/>
    <s v="Global Dynamics"/>
    <x v="3"/>
    <s v="Philadelphia"/>
    <s v="PRD-001"/>
    <x v="5"/>
    <x v="1"/>
    <s v="Carol Davis"/>
    <x v="4"/>
    <n v="24"/>
    <n v="1199.99"/>
    <n v="28799.759999999998"/>
    <n v="0.08"/>
    <n v="2303.98"/>
    <n v="26495.78"/>
    <n v="2119.66"/>
    <n v="28615.439999999999"/>
    <x v="1"/>
  </r>
  <r>
    <s v="TXN-00715"/>
    <x v="564"/>
    <x v="3"/>
    <s v="C012"/>
    <s v="Luminary Co"/>
    <x v="1"/>
    <s v="Dallas"/>
    <s v="PRD-006"/>
    <x v="0"/>
    <x v="0"/>
    <s v="Bob Chen"/>
    <x v="0"/>
    <n v="26"/>
    <n v="8.99"/>
    <n v="233.74"/>
    <n v="0.08"/>
    <n v="18.7"/>
    <n v="215.04"/>
    <n v="17.2"/>
    <n v="232.24"/>
    <x v="2"/>
  </r>
  <r>
    <s v="TXN-00756"/>
    <x v="565"/>
    <x v="3"/>
    <s v="C007"/>
    <s v="Global Dynamics"/>
    <x v="3"/>
    <s v="Philadelphia"/>
    <s v="PRD-007"/>
    <x v="13"/>
    <x v="1"/>
    <s v="David Kim"/>
    <x v="2"/>
    <n v="23"/>
    <n v="129.99"/>
    <n v="2989.77"/>
    <n v="0.08"/>
    <n v="239.18"/>
    <n v="2750.59"/>
    <n v="220.05"/>
    <n v="2970.64"/>
    <x v="1"/>
  </r>
  <r>
    <s v="TXN-00792"/>
    <x v="566"/>
    <x v="3"/>
    <s v="C009"/>
    <s v="Ironclad Partners"/>
    <x v="0"/>
    <s v="Detroit"/>
    <s v="PRD-009"/>
    <x v="2"/>
    <x v="2"/>
    <s v="Carol Davis"/>
    <x v="3"/>
    <n v="18"/>
    <n v="39.99"/>
    <n v="719.82"/>
    <n v="0.05"/>
    <n v="35.99"/>
    <n v="683.83"/>
    <n v="54.71"/>
    <n v="738.54"/>
    <x v="1"/>
  </r>
  <r>
    <s v="TXN-00631"/>
    <x v="567"/>
    <x v="3"/>
    <s v="C001"/>
    <s v="Apex Solutions"/>
    <x v="0"/>
    <s v="New York"/>
    <s v="PRD-013"/>
    <x v="4"/>
    <x v="2"/>
    <s v="David Kim"/>
    <x v="2"/>
    <n v="18"/>
    <n v="229.99"/>
    <n v="4139.82"/>
    <n v="0.05"/>
    <n v="206.99"/>
    <n v="3932.83"/>
    <n v="314.63"/>
    <n v="4247.46"/>
    <x v="1"/>
  </r>
  <r>
    <s v="TXN-00699"/>
    <x v="568"/>
    <x v="3"/>
    <s v="C015"/>
    <s v="Orbit Industries"/>
    <x v="1"/>
    <s v="Houston"/>
    <s v="PRD-011"/>
    <x v="7"/>
    <x v="1"/>
    <s v="Alice Morgan"/>
    <x v="3"/>
    <n v="12"/>
    <n v="249.99"/>
    <n v="2999.88"/>
    <n v="0.05"/>
    <n v="149.99"/>
    <n v="2849.89"/>
    <n v="227.99"/>
    <n v="3077.88"/>
    <x v="1"/>
  </r>
  <r>
    <s v="TXN-00639"/>
    <x v="569"/>
    <x v="3"/>
    <s v="C010"/>
    <s v="Jade Innovations"/>
    <x v="2"/>
    <s v="San Francisco"/>
    <s v="PRD-006"/>
    <x v="0"/>
    <x v="0"/>
    <s v="Eva Patel"/>
    <x v="4"/>
    <n v="7"/>
    <n v="8.99"/>
    <n v="62.93"/>
    <n v="0"/>
    <n v="0"/>
    <n v="62.93"/>
    <n v="5.03"/>
    <n v="0"/>
    <x v="0"/>
  </r>
  <r>
    <s v="TXN-00766"/>
    <x v="570"/>
    <x v="3"/>
    <s v="C001"/>
    <s v="Apex Solutions"/>
    <x v="0"/>
    <s v="New York"/>
    <s v="PRD-001"/>
    <x v="5"/>
    <x v="1"/>
    <s v="Bob Chen"/>
    <x v="0"/>
    <n v="28"/>
    <n v="1199.99"/>
    <n v="33599.72"/>
    <n v="0.08"/>
    <n v="2687.98"/>
    <n v="30911.74"/>
    <n v="2472.94"/>
    <n v="33384.68"/>
    <x v="1"/>
  </r>
  <r>
    <s v="TXN-00770"/>
    <x v="571"/>
    <x v="3"/>
    <s v="C002"/>
    <s v="Blue Ridge Corp"/>
    <x v="1"/>
    <s v="Atlanta"/>
    <s v="PRD-008"/>
    <x v="12"/>
    <x v="1"/>
    <s v="David Kim"/>
    <x v="1"/>
    <n v="4"/>
    <n v="399.99"/>
    <n v="1599.96"/>
    <n v="0.08"/>
    <n v="128"/>
    <n v="1471.96"/>
    <n v="117.76"/>
    <n v="1589.72"/>
    <x v="1"/>
  </r>
  <r>
    <s v="TXN-00784"/>
    <x v="572"/>
    <x v="3"/>
    <s v="C015"/>
    <s v="Orbit Industries"/>
    <x v="1"/>
    <s v="Houston"/>
    <s v="PRD-009"/>
    <x v="2"/>
    <x v="2"/>
    <s v="David Kim"/>
    <x v="0"/>
    <n v="30"/>
    <n v="39.99"/>
    <n v="1199.7"/>
    <n v="0.08"/>
    <n v="95.98"/>
    <n v="1103.72"/>
    <n v="88.3"/>
    <n v="1192.02"/>
    <x v="1"/>
  </r>
  <r>
    <s v="TXN-00677"/>
    <x v="573"/>
    <x v="3"/>
    <s v="C014"/>
    <s v="Nexus Trading"/>
    <x v="2"/>
    <s v="Denver"/>
    <s v="PRD-015"/>
    <x v="11"/>
    <x v="0"/>
    <s v="Alice Morgan"/>
    <x v="0"/>
    <n v="29"/>
    <n v="79.989999999999995"/>
    <n v="2319.71"/>
    <n v="0.08"/>
    <n v="185.58"/>
    <n v="2134.13"/>
    <n v="170.73"/>
    <n v="0"/>
    <x v="0"/>
  </r>
  <r>
    <s v="TXN-00734"/>
    <x v="574"/>
    <x v="3"/>
    <s v="C002"/>
    <s v="Blue Ridge Corp"/>
    <x v="1"/>
    <s v="Atlanta"/>
    <s v="PRD-003"/>
    <x v="14"/>
    <x v="1"/>
    <s v="Alice Morgan"/>
    <x v="2"/>
    <n v="15"/>
    <n v="49.99"/>
    <n v="749.85"/>
    <n v="0.05"/>
    <n v="37.49"/>
    <n v="712.36"/>
    <n v="56.99"/>
    <n v="769.35"/>
    <x v="1"/>
  </r>
  <r>
    <s v="TXN-00695"/>
    <x v="575"/>
    <x v="3"/>
    <s v="C005"/>
    <s v="Eagle Tech"/>
    <x v="0"/>
    <s v="Chicago"/>
    <s v="PRD-002"/>
    <x v="9"/>
    <x v="1"/>
    <s v="Eva Patel"/>
    <x v="1"/>
    <n v="25"/>
    <n v="29.99"/>
    <n v="749.75"/>
    <n v="0.16"/>
    <n v="119.96"/>
    <n v="629.79"/>
    <n v="50.38"/>
    <n v="680.17"/>
    <x v="1"/>
  </r>
  <r>
    <s v="TXN-00664"/>
    <x v="576"/>
    <x v="3"/>
    <s v="C004"/>
    <s v="Delta Enterprises"/>
    <x v="2"/>
    <s v="Los Angeles"/>
    <s v="PRD-004"/>
    <x v="8"/>
    <x v="2"/>
    <s v="David Kim"/>
    <x v="0"/>
    <n v="30"/>
    <n v="349.99"/>
    <n v="10499.7"/>
    <n v="0.08"/>
    <n v="839.98"/>
    <n v="9659.7199999999993"/>
    <n v="772.78"/>
    <n v="10432.5"/>
    <x v="2"/>
  </r>
  <r>
    <s v="TXN-00630"/>
    <x v="577"/>
    <x v="3"/>
    <s v="C011"/>
    <s v="Keystone Ventures"/>
    <x v="3"/>
    <s v="Washington DC"/>
    <s v="PRD-004"/>
    <x v="8"/>
    <x v="2"/>
    <s v="Eva Patel"/>
    <x v="4"/>
    <n v="26"/>
    <n v="349.99"/>
    <n v="9099.74"/>
    <n v="0.08"/>
    <n v="727.98"/>
    <n v="8371.76"/>
    <n v="669.74"/>
    <n v="9041.5"/>
    <x v="2"/>
  </r>
  <r>
    <s v="TXN-00657"/>
    <x v="578"/>
    <x v="3"/>
    <s v="C015"/>
    <s v="Orbit Industries"/>
    <x v="1"/>
    <s v="Houston"/>
    <s v="PRD-003"/>
    <x v="14"/>
    <x v="1"/>
    <s v="David Kim"/>
    <x v="1"/>
    <n v="12"/>
    <n v="49.99"/>
    <n v="599.88"/>
    <n v="0.13"/>
    <n v="77.98"/>
    <n v="521.9"/>
    <n v="41.75"/>
    <n v="563.65"/>
    <x v="1"/>
  </r>
  <r>
    <s v="TXN-00628"/>
    <x v="579"/>
    <x v="3"/>
    <s v="C011"/>
    <s v="Keystone Ventures"/>
    <x v="3"/>
    <s v="Washington DC"/>
    <s v="PRD-004"/>
    <x v="8"/>
    <x v="2"/>
    <s v="Carol Davis"/>
    <x v="1"/>
    <n v="29"/>
    <n v="349.99"/>
    <n v="10149.709999999999"/>
    <n v="0.16"/>
    <n v="1623.95"/>
    <n v="8525.76"/>
    <n v="682.06"/>
    <n v="9207.82"/>
    <x v="1"/>
  </r>
  <r>
    <s v="TXN-00798"/>
    <x v="580"/>
    <x v="3"/>
    <s v="C010"/>
    <s v="Jade Innovations"/>
    <x v="2"/>
    <s v="San Francisco"/>
    <s v="PRD-002"/>
    <x v="9"/>
    <x v="1"/>
    <s v="Eva Patel"/>
    <x v="4"/>
    <n v="21"/>
    <n v="29.99"/>
    <n v="629.79"/>
    <n v="0.08"/>
    <n v="50.38"/>
    <n v="579.41"/>
    <n v="46.35"/>
    <n v="625.76"/>
    <x v="2"/>
  </r>
  <r>
    <s v="TXN-00758"/>
    <x v="581"/>
    <x v="3"/>
    <s v="C003"/>
    <s v="Crestview Ltd"/>
    <x v="3"/>
    <s v="Boston"/>
    <s v="PRD-014"/>
    <x v="10"/>
    <x v="1"/>
    <s v="Alice Morgan"/>
    <x v="1"/>
    <n v="16"/>
    <n v="479.99"/>
    <n v="7679.84"/>
    <n v="0.13"/>
    <n v="998.38"/>
    <n v="6681.46"/>
    <n v="534.52"/>
    <n v="0"/>
    <x v="0"/>
  </r>
  <r>
    <s v="TXN-00624"/>
    <x v="582"/>
    <x v="3"/>
    <s v="C001"/>
    <s v="Apex Solutions"/>
    <x v="0"/>
    <s v="New York"/>
    <s v="PRD-002"/>
    <x v="9"/>
    <x v="1"/>
    <s v="David Kim"/>
    <x v="3"/>
    <n v="30"/>
    <n v="29.99"/>
    <n v="899.7"/>
    <n v="0.08"/>
    <n v="71.98"/>
    <n v="827.72"/>
    <n v="66.22"/>
    <n v="893.94"/>
    <x v="1"/>
  </r>
  <r>
    <s v="TXN-00769"/>
    <x v="582"/>
    <x v="3"/>
    <s v="C014"/>
    <s v="Nexus Trading"/>
    <x v="2"/>
    <s v="Denver"/>
    <s v="PRD-007"/>
    <x v="13"/>
    <x v="1"/>
    <s v="Bob Chen"/>
    <x v="3"/>
    <n v="15"/>
    <n v="129.99"/>
    <n v="1949.85"/>
    <n v="0.05"/>
    <n v="97.49"/>
    <n v="1852.36"/>
    <n v="148.19"/>
    <n v="2000.55"/>
    <x v="1"/>
  </r>
  <r>
    <s v="TXN-00684"/>
    <x v="583"/>
    <x v="3"/>
    <s v="C007"/>
    <s v="Global Dynamics"/>
    <x v="3"/>
    <s v="Philadelphia"/>
    <s v="PRD-002"/>
    <x v="9"/>
    <x v="1"/>
    <s v="Bob Chen"/>
    <x v="4"/>
    <n v="19"/>
    <n v="29.99"/>
    <n v="569.80999999999995"/>
    <n v="0.05"/>
    <n v="28.49"/>
    <n v="541.32000000000005"/>
    <n v="43.31"/>
    <n v="0"/>
    <x v="0"/>
  </r>
  <r>
    <s v="TXN-00634"/>
    <x v="584"/>
    <x v="3"/>
    <s v="C013"/>
    <s v="Maverick Systems"/>
    <x v="0"/>
    <s v="Minneapolis"/>
    <s v="PRD-001"/>
    <x v="5"/>
    <x v="1"/>
    <s v="David Kim"/>
    <x v="0"/>
    <n v="25"/>
    <n v="1199.99"/>
    <n v="29999.75"/>
    <n v="0.08"/>
    <n v="2399.98"/>
    <n v="27599.77"/>
    <n v="2207.98"/>
    <n v="29807.75"/>
    <x v="1"/>
  </r>
  <r>
    <s v="TXN-00643"/>
    <x v="585"/>
    <x v="3"/>
    <s v="C013"/>
    <s v="Maverick Systems"/>
    <x v="0"/>
    <s v="Minneapolis"/>
    <s v="PRD-015"/>
    <x v="11"/>
    <x v="0"/>
    <s v="Carol Davis"/>
    <x v="3"/>
    <n v="5"/>
    <n v="79.989999999999995"/>
    <n v="399.95"/>
    <n v="0"/>
    <n v="0"/>
    <n v="399.95"/>
    <n v="32"/>
    <n v="431.95"/>
    <x v="1"/>
  </r>
  <r>
    <s v="TXN-00661"/>
    <x v="586"/>
    <x v="3"/>
    <s v="C012"/>
    <s v="Luminary Co"/>
    <x v="1"/>
    <s v="Dallas"/>
    <s v="PRD-003"/>
    <x v="14"/>
    <x v="1"/>
    <s v="Alice Morgan"/>
    <x v="0"/>
    <n v="11"/>
    <n v="49.99"/>
    <n v="549.89"/>
    <n v="0.05"/>
    <n v="27.49"/>
    <n v="522.4"/>
    <n v="41.79"/>
    <n v="564.19000000000005"/>
    <x v="1"/>
  </r>
  <r>
    <s v="TXN-00680"/>
    <x v="586"/>
    <x v="3"/>
    <s v="C011"/>
    <s v="Keystone Ventures"/>
    <x v="3"/>
    <s v="Washington DC"/>
    <s v="PRD-002"/>
    <x v="9"/>
    <x v="1"/>
    <s v="David Kim"/>
    <x v="4"/>
    <n v="5"/>
    <n v="29.99"/>
    <n v="149.94999999999999"/>
    <n v="0"/>
    <n v="0"/>
    <n v="149.94999999999999"/>
    <n v="12"/>
    <n v="161.94999999999999"/>
    <x v="2"/>
  </r>
  <r>
    <s v="TXN-00667"/>
    <x v="587"/>
    <x v="3"/>
    <s v="C007"/>
    <s v="Global Dynamics"/>
    <x v="3"/>
    <s v="Philadelphia"/>
    <s v="PRD-001"/>
    <x v="5"/>
    <x v="1"/>
    <s v="Alice Morgan"/>
    <x v="2"/>
    <n v="21"/>
    <n v="1199.99"/>
    <n v="25199.79"/>
    <n v="0.08"/>
    <n v="2015.98"/>
    <n v="23183.81"/>
    <n v="1854.7"/>
    <n v="25038.51"/>
    <x v="2"/>
  </r>
  <r>
    <s v="TXN-00692"/>
    <x v="588"/>
    <x v="3"/>
    <s v="C008"/>
    <s v="Horizon Group"/>
    <x v="2"/>
    <s v="Seattle"/>
    <s v="PRD-012"/>
    <x v="6"/>
    <x v="0"/>
    <s v="Carol Davis"/>
    <x v="2"/>
    <n v="14"/>
    <n v="5.99"/>
    <n v="83.86"/>
    <n v="0.05"/>
    <n v="4.1900000000000004"/>
    <n v="79.67"/>
    <n v="6.37"/>
    <n v="86.04"/>
    <x v="2"/>
  </r>
  <r>
    <s v="TXN-00708"/>
    <x v="589"/>
    <x v="3"/>
    <s v="C009"/>
    <s v="Ironclad Partners"/>
    <x v="0"/>
    <s v="Detroit"/>
    <s v="PRD-001"/>
    <x v="5"/>
    <x v="1"/>
    <s v="Carol Davis"/>
    <x v="0"/>
    <n v="20"/>
    <n v="1199.99"/>
    <n v="23999.8"/>
    <n v="0.08"/>
    <n v="1919.98"/>
    <n v="22079.82"/>
    <n v="1766.39"/>
    <n v="23846.21"/>
    <x v="2"/>
  </r>
  <r>
    <s v="TXN-00765"/>
    <x v="590"/>
    <x v="3"/>
    <s v="C011"/>
    <s v="Keystone Ventures"/>
    <x v="3"/>
    <s v="Washington DC"/>
    <s v="PRD-011"/>
    <x v="7"/>
    <x v="1"/>
    <s v="David Kim"/>
    <x v="4"/>
    <n v="29"/>
    <n v="249.99"/>
    <n v="7249.71"/>
    <n v="0.08"/>
    <n v="579.98"/>
    <n v="6669.73"/>
    <n v="533.58000000000004"/>
    <n v="0"/>
    <x v="0"/>
  </r>
  <r>
    <s v="TXN-00728"/>
    <x v="591"/>
    <x v="3"/>
    <s v="C013"/>
    <s v="Maverick Systems"/>
    <x v="0"/>
    <s v="Minneapolis"/>
    <s v="PRD-010"/>
    <x v="1"/>
    <x v="1"/>
    <s v="Bob Chen"/>
    <x v="1"/>
    <n v="5"/>
    <n v="89.99"/>
    <n v="449.95"/>
    <n v="0.08"/>
    <n v="36"/>
    <n v="413.95"/>
    <n v="33.119999999999997"/>
    <n v="447.07"/>
    <x v="1"/>
  </r>
  <r>
    <s v="TXN-00627"/>
    <x v="592"/>
    <x v="3"/>
    <s v="C015"/>
    <s v="Orbit Industries"/>
    <x v="1"/>
    <s v="Houston"/>
    <s v="PRD-008"/>
    <x v="12"/>
    <x v="1"/>
    <s v="Bob Chen"/>
    <x v="3"/>
    <n v="20"/>
    <n v="399.99"/>
    <n v="7999.8"/>
    <n v="0.08"/>
    <n v="639.98"/>
    <n v="7359.82"/>
    <n v="588.79"/>
    <n v="0"/>
    <x v="0"/>
  </r>
  <r>
    <s v="TXN-00790"/>
    <x v="593"/>
    <x v="3"/>
    <s v="C012"/>
    <s v="Luminary Co"/>
    <x v="1"/>
    <s v="Dallas"/>
    <s v="PRD-012"/>
    <x v="6"/>
    <x v="0"/>
    <s v="Eva Patel"/>
    <x v="4"/>
    <n v="7"/>
    <n v="5.99"/>
    <n v="41.93"/>
    <n v="0"/>
    <n v="0"/>
    <n v="41.93"/>
    <n v="3.35"/>
    <n v="45.28"/>
    <x v="1"/>
  </r>
  <r>
    <s v="TXN-00721"/>
    <x v="594"/>
    <x v="3"/>
    <s v="C014"/>
    <s v="Nexus Trading"/>
    <x v="2"/>
    <s v="Denver"/>
    <s v="PRD-008"/>
    <x v="12"/>
    <x v="1"/>
    <s v="Alice Morgan"/>
    <x v="1"/>
    <n v="28"/>
    <n v="399.99"/>
    <n v="11199.72"/>
    <n v="0.16"/>
    <n v="1791.96"/>
    <n v="9407.76"/>
    <n v="752.62"/>
    <n v="10160.379999999999"/>
    <x v="1"/>
  </r>
  <r>
    <s v="TXN-00781"/>
    <x v="594"/>
    <x v="3"/>
    <s v="C006"/>
    <s v="Foxfire Inc"/>
    <x v="1"/>
    <s v="Miami"/>
    <s v="PRD-012"/>
    <x v="6"/>
    <x v="0"/>
    <s v="Alice Morgan"/>
    <x v="1"/>
    <n v="30"/>
    <n v="5.99"/>
    <n v="179.7"/>
    <n v="0.16"/>
    <n v="28.75"/>
    <n v="150.94999999999999"/>
    <n v="12.08"/>
    <n v="163.03"/>
    <x v="1"/>
  </r>
  <r>
    <s v="TXN-00603"/>
    <x v="595"/>
    <x v="3"/>
    <s v="C007"/>
    <s v="Global Dynamics"/>
    <x v="3"/>
    <s v="Philadelphia"/>
    <s v="PRD-015"/>
    <x v="11"/>
    <x v="0"/>
    <s v="Alice Morgan"/>
    <x v="4"/>
    <n v="12"/>
    <n v="79.989999999999995"/>
    <n v="959.88"/>
    <n v="0.05"/>
    <n v="47.99"/>
    <n v="911.89"/>
    <n v="72.95"/>
    <n v="0"/>
    <x v="0"/>
  </r>
  <r>
    <s v="TXN-00668"/>
    <x v="596"/>
    <x v="3"/>
    <s v="C004"/>
    <s v="Delta Enterprises"/>
    <x v="2"/>
    <s v="Los Angeles"/>
    <s v="PRD-008"/>
    <x v="12"/>
    <x v="1"/>
    <s v="Alice Morgan"/>
    <x v="3"/>
    <n v="6"/>
    <n v="399.99"/>
    <n v="2399.94"/>
    <n v="0"/>
    <n v="0"/>
    <n v="2399.94"/>
    <n v="192"/>
    <n v="2591.94"/>
    <x v="1"/>
  </r>
  <r>
    <s v="TXN-00772"/>
    <x v="596"/>
    <x v="3"/>
    <s v="C009"/>
    <s v="Ironclad Partners"/>
    <x v="0"/>
    <s v="Detroit"/>
    <s v="PRD-009"/>
    <x v="2"/>
    <x v="2"/>
    <s v="Alice Morgan"/>
    <x v="3"/>
    <n v="20"/>
    <n v="39.99"/>
    <n v="799.8"/>
    <n v="0.08"/>
    <n v="63.98"/>
    <n v="735.82"/>
    <n v="58.87"/>
    <n v="0"/>
    <x v="0"/>
  </r>
  <r>
    <s v="TXN-00653"/>
    <x v="597"/>
    <x v="3"/>
    <s v="C006"/>
    <s v="Foxfire Inc"/>
    <x v="1"/>
    <s v="Miami"/>
    <s v="PRD-006"/>
    <x v="0"/>
    <x v="0"/>
    <s v="Bob Chen"/>
    <x v="3"/>
    <n v="22"/>
    <n v="8.99"/>
    <n v="197.78"/>
    <n v="0.08"/>
    <n v="15.82"/>
    <n v="181.96"/>
    <n v="14.56"/>
    <n v="196.52"/>
    <x v="2"/>
  </r>
  <r>
    <s v="TXN-00705"/>
    <x v="598"/>
    <x v="3"/>
    <s v="C005"/>
    <s v="Eagle Tech"/>
    <x v="0"/>
    <s v="Chicago"/>
    <s v="PRD-004"/>
    <x v="8"/>
    <x v="2"/>
    <s v="Eva Patel"/>
    <x v="2"/>
    <n v="23"/>
    <n v="349.99"/>
    <n v="8049.77"/>
    <n v="0.08"/>
    <n v="643.98"/>
    <n v="7405.79"/>
    <n v="592.46"/>
    <n v="7998.25"/>
    <x v="2"/>
  </r>
  <r>
    <s v="TXN-00621"/>
    <x v="599"/>
    <x v="3"/>
    <s v="C004"/>
    <s v="Delta Enterprises"/>
    <x v="2"/>
    <s v="Los Angeles"/>
    <s v="PRD-003"/>
    <x v="14"/>
    <x v="1"/>
    <s v="David Kim"/>
    <x v="2"/>
    <n v="21"/>
    <n v="49.99"/>
    <n v="1049.79"/>
    <n v="0.08"/>
    <n v="83.98"/>
    <n v="965.81"/>
    <n v="77.260000000000005"/>
    <n v="1043.07"/>
    <x v="2"/>
  </r>
  <r>
    <s v="TXN-00646"/>
    <x v="600"/>
    <x v="3"/>
    <s v="C003"/>
    <s v="Crestview Ltd"/>
    <x v="3"/>
    <s v="Boston"/>
    <s v="PRD-006"/>
    <x v="0"/>
    <x v="0"/>
    <s v="Bob Chen"/>
    <x v="1"/>
    <n v="16"/>
    <n v="8.99"/>
    <n v="143.84"/>
    <n v="0.13"/>
    <n v="18.7"/>
    <n v="125.14"/>
    <n v="10.01"/>
    <n v="135.15"/>
    <x v="2"/>
  </r>
  <r>
    <s v="TXN-00710"/>
    <x v="601"/>
    <x v="3"/>
    <s v="C006"/>
    <s v="Foxfire Inc"/>
    <x v="1"/>
    <s v="Miami"/>
    <s v="PRD-011"/>
    <x v="7"/>
    <x v="1"/>
    <s v="Carol Davis"/>
    <x v="2"/>
    <n v="23"/>
    <n v="249.99"/>
    <n v="5749.77"/>
    <n v="0.08"/>
    <n v="459.98"/>
    <n v="5289.79"/>
    <n v="423.18"/>
    <n v="5712.97"/>
    <x v="2"/>
  </r>
  <r>
    <s v="TXN-00738"/>
    <x v="601"/>
    <x v="3"/>
    <s v="C009"/>
    <s v="Ironclad Partners"/>
    <x v="0"/>
    <s v="Detroit"/>
    <s v="PRD-010"/>
    <x v="1"/>
    <x v="1"/>
    <s v="Bob Chen"/>
    <x v="3"/>
    <n v="23"/>
    <n v="89.99"/>
    <n v="2069.77"/>
    <n v="0.08"/>
    <n v="165.58"/>
    <n v="1904.19"/>
    <n v="152.34"/>
    <n v="2056.5300000000002"/>
    <x v="1"/>
  </r>
  <r>
    <s v="TXN-00686"/>
    <x v="602"/>
    <x v="3"/>
    <s v="C009"/>
    <s v="Ironclad Partners"/>
    <x v="0"/>
    <s v="Detroit"/>
    <s v="PRD-014"/>
    <x v="10"/>
    <x v="1"/>
    <s v="Carol Davis"/>
    <x v="1"/>
    <n v="13"/>
    <n v="479.99"/>
    <n v="6239.87"/>
    <n v="0.13"/>
    <n v="811.18"/>
    <n v="5428.69"/>
    <n v="434.3"/>
    <n v="5862.99"/>
    <x v="1"/>
  </r>
  <r>
    <s v="TXN-00604"/>
    <x v="603"/>
    <x v="3"/>
    <s v="C012"/>
    <s v="Luminary Co"/>
    <x v="1"/>
    <s v="Dallas"/>
    <s v="PRD-014"/>
    <x v="10"/>
    <x v="1"/>
    <s v="Alice Morgan"/>
    <x v="2"/>
    <n v="25"/>
    <n v="479.99"/>
    <n v="11999.75"/>
    <n v="0.08"/>
    <n v="959.98"/>
    <n v="11039.77"/>
    <n v="883.18"/>
    <n v="11922.95"/>
    <x v="1"/>
  </r>
  <r>
    <s v="TXN-00775"/>
    <x v="603"/>
    <x v="3"/>
    <s v="C009"/>
    <s v="Ironclad Partners"/>
    <x v="0"/>
    <s v="Detroit"/>
    <s v="PRD-006"/>
    <x v="0"/>
    <x v="0"/>
    <s v="Eva Patel"/>
    <x v="0"/>
    <n v="23"/>
    <n v="8.99"/>
    <n v="206.77"/>
    <n v="0.08"/>
    <n v="16.54"/>
    <n v="190.23"/>
    <n v="15.22"/>
    <n v="205.45"/>
    <x v="1"/>
  </r>
  <r>
    <s v="TXN-00776"/>
    <x v="604"/>
    <x v="3"/>
    <s v="C012"/>
    <s v="Luminary Co"/>
    <x v="1"/>
    <s v="Dallas"/>
    <s v="PRD-006"/>
    <x v="0"/>
    <x v="0"/>
    <s v="David Kim"/>
    <x v="3"/>
    <n v="25"/>
    <n v="8.99"/>
    <n v="224.75"/>
    <n v="0.08"/>
    <n v="17.98"/>
    <n v="206.77"/>
    <n v="16.54"/>
    <n v="223.31"/>
    <x v="1"/>
  </r>
  <r>
    <s v="TXN-00782"/>
    <x v="604"/>
    <x v="3"/>
    <s v="C011"/>
    <s v="Keystone Ventures"/>
    <x v="3"/>
    <s v="Washington DC"/>
    <s v="PRD-014"/>
    <x v="10"/>
    <x v="1"/>
    <s v="Eva Patel"/>
    <x v="3"/>
    <n v="15"/>
    <n v="479.99"/>
    <n v="7199.85"/>
    <n v="0.05"/>
    <n v="359.99"/>
    <n v="6839.86"/>
    <n v="547.19000000000005"/>
    <n v="7387.05"/>
    <x v="1"/>
  </r>
  <r>
    <s v="TXN-00742"/>
    <x v="605"/>
    <x v="3"/>
    <s v="C003"/>
    <s v="Crestview Ltd"/>
    <x v="3"/>
    <s v="Boston"/>
    <s v="PRD-012"/>
    <x v="6"/>
    <x v="0"/>
    <s v="Bob Chen"/>
    <x v="3"/>
    <n v="14"/>
    <n v="5.99"/>
    <n v="83.86"/>
    <n v="0.05"/>
    <n v="4.1900000000000004"/>
    <n v="79.67"/>
    <n v="6.37"/>
    <n v="86.04"/>
    <x v="1"/>
  </r>
  <r>
    <s v="TXN-00764"/>
    <x v="606"/>
    <x v="3"/>
    <s v="C002"/>
    <s v="Blue Ridge Corp"/>
    <x v="1"/>
    <s v="Atlanta"/>
    <s v="PRD-010"/>
    <x v="1"/>
    <x v="1"/>
    <s v="David Kim"/>
    <x v="4"/>
    <n v="12"/>
    <n v="89.99"/>
    <n v="1079.8800000000001"/>
    <n v="0.05"/>
    <n v="53.99"/>
    <n v="1025.8900000000001"/>
    <n v="82.07"/>
    <n v="1107.96"/>
    <x v="1"/>
  </r>
  <r>
    <s v="TXN-00647"/>
    <x v="607"/>
    <x v="3"/>
    <s v="C003"/>
    <s v="Crestview Ltd"/>
    <x v="3"/>
    <s v="Boston"/>
    <s v="PRD-006"/>
    <x v="0"/>
    <x v="0"/>
    <s v="Eva Patel"/>
    <x v="0"/>
    <n v="8"/>
    <n v="8.99"/>
    <n v="71.92"/>
    <n v="0"/>
    <n v="0"/>
    <n v="71.92"/>
    <n v="5.75"/>
    <n v="77.67"/>
    <x v="1"/>
  </r>
  <r>
    <s v="TXN-00773"/>
    <x v="608"/>
    <x v="3"/>
    <s v="C015"/>
    <s v="Orbit Industries"/>
    <x v="1"/>
    <s v="Houston"/>
    <s v="PRD-005"/>
    <x v="3"/>
    <x v="2"/>
    <s v="Eva Patel"/>
    <x v="0"/>
    <n v="21"/>
    <n v="599.99"/>
    <n v="12599.79"/>
    <n v="0.08"/>
    <n v="1007.98"/>
    <n v="11591.81"/>
    <n v="927.34"/>
    <n v="12519.15"/>
    <x v="1"/>
  </r>
  <r>
    <s v="TXN-00617"/>
    <x v="609"/>
    <x v="3"/>
    <s v="C004"/>
    <s v="Delta Enterprises"/>
    <x v="2"/>
    <s v="Los Angeles"/>
    <s v="PRD-012"/>
    <x v="6"/>
    <x v="0"/>
    <s v="Carol Davis"/>
    <x v="1"/>
    <n v="2"/>
    <n v="5.99"/>
    <n v="11.98"/>
    <n v="0.08"/>
    <n v="0.96"/>
    <n v="11.02"/>
    <n v="0.88"/>
    <n v="0"/>
    <x v="0"/>
  </r>
  <r>
    <s v="TXN-00752"/>
    <x v="609"/>
    <x v="3"/>
    <s v="C002"/>
    <s v="Blue Ridge Corp"/>
    <x v="1"/>
    <s v="Atlanta"/>
    <s v="PRD-001"/>
    <x v="5"/>
    <x v="1"/>
    <s v="Bob Chen"/>
    <x v="3"/>
    <n v="12"/>
    <n v="1199.99"/>
    <n v="14399.88"/>
    <n v="0.05"/>
    <n v="719.99"/>
    <n v="13679.89"/>
    <n v="1094.3900000000001"/>
    <n v="14774.28"/>
    <x v="1"/>
  </r>
  <r>
    <s v="TXN-00712"/>
    <x v="610"/>
    <x v="3"/>
    <s v="C014"/>
    <s v="Nexus Trading"/>
    <x v="2"/>
    <s v="Denver"/>
    <s v="PRD-013"/>
    <x v="4"/>
    <x v="2"/>
    <s v="Eva Patel"/>
    <x v="1"/>
    <n v="11"/>
    <n v="229.99"/>
    <n v="2529.89"/>
    <n v="0.13"/>
    <n v="328.89"/>
    <n v="2201"/>
    <n v="176.08"/>
    <n v="2377.08"/>
    <x v="2"/>
  </r>
  <r>
    <s v="TXN-00625"/>
    <x v="611"/>
    <x v="3"/>
    <s v="C014"/>
    <s v="Nexus Trading"/>
    <x v="2"/>
    <s v="Denver"/>
    <s v="PRD-007"/>
    <x v="13"/>
    <x v="1"/>
    <s v="David Kim"/>
    <x v="1"/>
    <n v="13"/>
    <n v="129.99"/>
    <n v="1689.87"/>
    <n v="0.13"/>
    <n v="219.68"/>
    <n v="1470.19"/>
    <n v="117.62"/>
    <n v="1587.81"/>
    <x v="1"/>
  </r>
  <r>
    <s v="TXN-00703"/>
    <x v="611"/>
    <x v="3"/>
    <s v="C004"/>
    <s v="Delta Enterprises"/>
    <x v="2"/>
    <s v="Los Angeles"/>
    <s v="PRD-011"/>
    <x v="7"/>
    <x v="1"/>
    <s v="Carol Davis"/>
    <x v="1"/>
    <n v="1"/>
    <n v="249.99"/>
    <n v="249.99"/>
    <n v="0.08"/>
    <n v="20"/>
    <n v="229.99"/>
    <n v="18.399999999999999"/>
    <n v="0"/>
    <x v="0"/>
  </r>
  <r>
    <s v="TXN-00658"/>
    <x v="612"/>
    <x v="3"/>
    <s v="C002"/>
    <s v="Blue Ridge Corp"/>
    <x v="1"/>
    <s v="Atlanta"/>
    <s v="PRD-007"/>
    <x v="13"/>
    <x v="1"/>
    <s v="David Kim"/>
    <x v="0"/>
    <n v="25"/>
    <n v="129.99"/>
    <n v="3249.75"/>
    <n v="0.08"/>
    <n v="259.98"/>
    <n v="2989.77"/>
    <n v="239.18"/>
    <n v="3228.95"/>
    <x v="2"/>
  </r>
  <r>
    <s v="TXN-00648"/>
    <x v="613"/>
    <x v="3"/>
    <s v="C014"/>
    <s v="Nexus Trading"/>
    <x v="2"/>
    <s v="Denver"/>
    <s v="PRD-010"/>
    <x v="1"/>
    <x v="1"/>
    <s v="Bob Chen"/>
    <x v="1"/>
    <n v="24"/>
    <n v="89.99"/>
    <n v="2159.7600000000002"/>
    <n v="0.16"/>
    <n v="345.56"/>
    <n v="1814.2"/>
    <n v="145.13999999999999"/>
    <n v="1959.34"/>
    <x v="1"/>
  </r>
  <r>
    <s v="TXN-00638"/>
    <x v="614"/>
    <x v="3"/>
    <s v="C012"/>
    <s v="Luminary Co"/>
    <x v="1"/>
    <s v="Dallas"/>
    <s v="PRD-013"/>
    <x v="4"/>
    <x v="2"/>
    <s v="Carol Davis"/>
    <x v="0"/>
    <n v="23"/>
    <n v="229.99"/>
    <n v="5289.77"/>
    <n v="0.08"/>
    <n v="423.18"/>
    <n v="4866.59"/>
    <n v="389.33"/>
    <n v="5255.92"/>
    <x v="1"/>
  </r>
  <r>
    <s v="TXN-00743"/>
    <x v="614"/>
    <x v="3"/>
    <s v="C011"/>
    <s v="Keystone Ventures"/>
    <x v="3"/>
    <s v="Washington DC"/>
    <s v="PRD-002"/>
    <x v="9"/>
    <x v="1"/>
    <s v="Eva Patel"/>
    <x v="2"/>
    <n v="20"/>
    <n v="29.99"/>
    <n v="599.79999999999995"/>
    <n v="0.08"/>
    <n v="47.98"/>
    <n v="551.82000000000005"/>
    <n v="44.15"/>
    <n v="0"/>
    <x v="0"/>
  </r>
  <r>
    <s v="TXN-00763"/>
    <x v="614"/>
    <x v="3"/>
    <s v="C014"/>
    <s v="Nexus Trading"/>
    <x v="2"/>
    <s v="Denver"/>
    <s v="PRD-011"/>
    <x v="7"/>
    <x v="1"/>
    <s v="Carol Davis"/>
    <x v="0"/>
    <n v="23"/>
    <n v="249.99"/>
    <n v="5749.77"/>
    <n v="0.08"/>
    <n v="459.98"/>
    <n v="5289.79"/>
    <n v="423.18"/>
    <n v="0"/>
    <x v="0"/>
  </r>
  <r>
    <s v="TXN-00788"/>
    <x v="614"/>
    <x v="3"/>
    <s v="C013"/>
    <s v="Maverick Systems"/>
    <x v="0"/>
    <s v="Minneapolis"/>
    <s v="PRD-008"/>
    <x v="12"/>
    <x v="1"/>
    <s v="Bob Chen"/>
    <x v="4"/>
    <n v="20"/>
    <n v="399.99"/>
    <n v="7999.8"/>
    <n v="0.08"/>
    <n v="639.98"/>
    <n v="7359.82"/>
    <n v="588.79"/>
    <n v="7948.61"/>
    <x v="1"/>
  </r>
  <r>
    <s v="TXN-00615"/>
    <x v="615"/>
    <x v="3"/>
    <s v="C002"/>
    <s v="Blue Ridge Corp"/>
    <x v="1"/>
    <s v="Atlanta"/>
    <s v="PRD-014"/>
    <x v="10"/>
    <x v="1"/>
    <s v="Alice Morgan"/>
    <x v="4"/>
    <n v="10"/>
    <n v="479.99"/>
    <n v="4799.8999999999996"/>
    <n v="0.05"/>
    <n v="240"/>
    <n v="4559.8999999999996"/>
    <n v="364.79"/>
    <n v="4924.6899999999996"/>
    <x v="2"/>
  </r>
  <r>
    <s v="TXN-00840"/>
    <x v="616"/>
    <x v="4"/>
    <s v="C010"/>
    <s v="Jade Innovations"/>
    <x v="2"/>
    <s v="San Francisco"/>
    <s v="PRD-010"/>
    <x v="1"/>
    <x v="1"/>
    <s v="Carol Davis"/>
    <x v="2"/>
    <n v="6"/>
    <n v="89.99"/>
    <n v="539.94000000000005"/>
    <n v="0"/>
    <n v="0"/>
    <n v="539.94000000000005"/>
    <n v="43.2"/>
    <n v="583.14"/>
    <x v="1"/>
  </r>
  <r>
    <s v="TXN-00818"/>
    <x v="617"/>
    <x v="4"/>
    <s v="C002"/>
    <s v="Blue Ridge Corp"/>
    <x v="1"/>
    <s v="Atlanta"/>
    <s v="PRD-009"/>
    <x v="2"/>
    <x v="2"/>
    <s v="Alice Morgan"/>
    <x v="4"/>
    <n v="18"/>
    <n v="39.99"/>
    <n v="719.82"/>
    <n v="0.05"/>
    <n v="35.99"/>
    <n v="683.83"/>
    <n v="54.71"/>
    <n v="0"/>
    <x v="0"/>
  </r>
  <r>
    <s v="TXN-00882"/>
    <x v="617"/>
    <x v="4"/>
    <s v="C005"/>
    <s v="Eagle Tech"/>
    <x v="0"/>
    <s v="Chicago"/>
    <s v="PRD-007"/>
    <x v="13"/>
    <x v="1"/>
    <s v="Bob Chen"/>
    <x v="3"/>
    <n v="24"/>
    <n v="129.99"/>
    <n v="3119.76"/>
    <n v="0.08"/>
    <n v="249.58"/>
    <n v="2870.18"/>
    <n v="229.61"/>
    <n v="3099.79"/>
    <x v="2"/>
  </r>
  <r>
    <s v="TXN-00996"/>
    <x v="618"/>
    <x v="4"/>
    <s v="C006"/>
    <s v="Foxfire Inc"/>
    <x v="1"/>
    <s v="Miami"/>
    <s v="PRD-001"/>
    <x v="5"/>
    <x v="1"/>
    <s v="Bob Chen"/>
    <x v="0"/>
    <n v="3"/>
    <n v="1199.99"/>
    <n v="3599.97"/>
    <n v="0"/>
    <n v="0"/>
    <n v="3599.97"/>
    <n v="288"/>
    <n v="3887.97"/>
    <x v="2"/>
  </r>
  <r>
    <s v="TXN-00988"/>
    <x v="619"/>
    <x v="4"/>
    <s v="C001"/>
    <s v="Apex Solutions"/>
    <x v="0"/>
    <s v="New York"/>
    <s v="PRD-008"/>
    <x v="12"/>
    <x v="1"/>
    <s v="Eva Patel"/>
    <x v="1"/>
    <n v="6"/>
    <n v="399.99"/>
    <n v="2399.94"/>
    <n v="0.08"/>
    <n v="192"/>
    <n v="2207.94"/>
    <n v="176.64"/>
    <n v="2384.58"/>
    <x v="2"/>
  </r>
  <r>
    <s v="TXN-00982"/>
    <x v="620"/>
    <x v="4"/>
    <s v="C009"/>
    <s v="Ironclad Partners"/>
    <x v="0"/>
    <s v="Detroit"/>
    <s v="PRD-006"/>
    <x v="0"/>
    <x v="0"/>
    <s v="Carol Davis"/>
    <x v="1"/>
    <n v="7"/>
    <n v="8.99"/>
    <n v="62.93"/>
    <n v="0.08"/>
    <n v="5.03"/>
    <n v="57.9"/>
    <n v="4.63"/>
    <n v="62.53"/>
    <x v="2"/>
  </r>
  <r>
    <s v="TXN-00964"/>
    <x v="621"/>
    <x v="4"/>
    <s v="C006"/>
    <s v="Foxfire Inc"/>
    <x v="1"/>
    <s v="Miami"/>
    <s v="PRD-004"/>
    <x v="8"/>
    <x v="2"/>
    <s v="Alice Morgan"/>
    <x v="4"/>
    <n v="18"/>
    <n v="349.99"/>
    <n v="6299.82"/>
    <n v="0.05"/>
    <n v="314.99"/>
    <n v="5984.83"/>
    <n v="478.79"/>
    <n v="6463.62"/>
    <x v="1"/>
  </r>
  <r>
    <s v="TXN-00907"/>
    <x v="622"/>
    <x v="4"/>
    <s v="C006"/>
    <s v="Foxfire Inc"/>
    <x v="1"/>
    <s v="Miami"/>
    <s v="PRD-013"/>
    <x v="4"/>
    <x v="2"/>
    <s v="David Kim"/>
    <x v="1"/>
    <n v="28"/>
    <n v="229.99"/>
    <n v="6439.72"/>
    <n v="0.16"/>
    <n v="1030.3599999999999"/>
    <n v="5409.36"/>
    <n v="432.75"/>
    <n v="0"/>
    <x v="0"/>
  </r>
  <r>
    <s v="TXN-00898"/>
    <x v="623"/>
    <x v="4"/>
    <s v="C009"/>
    <s v="Ironclad Partners"/>
    <x v="0"/>
    <s v="Detroit"/>
    <s v="PRD-009"/>
    <x v="2"/>
    <x v="2"/>
    <s v="Bob Chen"/>
    <x v="0"/>
    <n v="22"/>
    <n v="39.99"/>
    <n v="879.78"/>
    <n v="0.08"/>
    <n v="70.38"/>
    <n v="809.4"/>
    <n v="64.75"/>
    <n v="874.15"/>
    <x v="1"/>
  </r>
  <r>
    <s v="TXN-00804"/>
    <x v="624"/>
    <x v="4"/>
    <s v="C003"/>
    <s v="Crestview Ltd"/>
    <x v="3"/>
    <s v="Boston"/>
    <s v="PRD-002"/>
    <x v="9"/>
    <x v="1"/>
    <s v="Bob Chen"/>
    <x v="0"/>
    <n v="13"/>
    <n v="29.99"/>
    <n v="389.87"/>
    <n v="0.05"/>
    <n v="19.489999999999998"/>
    <n v="370.38"/>
    <n v="29.63"/>
    <n v="400.01"/>
    <x v="1"/>
  </r>
  <r>
    <s v="TXN-00866"/>
    <x v="624"/>
    <x v="4"/>
    <s v="C010"/>
    <s v="Jade Innovations"/>
    <x v="2"/>
    <s v="San Francisco"/>
    <s v="PRD-010"/>
    <x v="1"/>
    <x v="1"/>
    <s v="Bob Chen"/>
    <x v="4"/>
    <n v="17"/>
    <n v="89.99"/>
    <n v="1529.83"/>
    <n v="0.05"/>
    <n v="76.489999999999995"/>
    <n v="1453.34"/>
    <n v="116.27"/>
    <n v="1569.61"/>
    <x v="2"/>
  </r>
  <r>
    <s v="TXN-00983"/>
    <x v="624"/>
    <x v="4"/>
    <s v="C007"/>
    <s v="Global Dynamics"/>
    <x v="3"/>
    <s v="Philadelphia"/>
    <s v="PRD-012"/>
    <x v="6"/>
    <x v="0"/>
    <s v="Carol Davis"/>
    <x v="4"/>
    <n v="29"/>
    <n v="5.99"/>
    <n v="173.71"/>
    <n v="0.08"/>
    <n v="13.9"/>
    <n v="159.81"/>
    <n v="12.78"/>
    <n v="172.59"/>
    <x v="1"/>
  </r>
  <r>
    <s v="TXN-00973"/>
    <x v="625"/>
    <x v="4"/>
    <s v="C011"/>
    <s v="Keystone Ventures"/>
    <x v="3"/>
    <s v="Washington DC"/>
    <s v="PRD-007"/>
    <x v="13"/>
    <x v="1"/>
    <s v="Carol Davis"/>
    <x v="2"/>
    <n v="21"/>
    <n v="129.99"/>
    <n v="2729.79"/>
    <n v="0.08"/>
    <n v="218.38"/>
    <n v="2511.41"/>
    <n v="200.91"/>
    <n v="2712.32"/>
    <x v="1"/>
  </r>
  <r>
    <s v="TXN-00825"/>
    <x v="626"/>
    <x v="4"/>
    <s v="C011"/>
    <s v="Keystone Ventures"/>
    <x v="3"/>
    <s v="Washington DC"/>
    <s v="PRD-001"/>
    <x v="5"/>
    <x v="1"/>
    <s v="Eva Patel"/>
    <x v="3"/>
    <n v="19"/>
    <n v="1199.99"/>
    <n v="22799.81"/>
    <n v="0.05"/>
    <n v="1139.99"/>
    <n v="21659.82"/>
    <n v="1732.79"/>
    <n v="23392.61"/>
    <x v="2"/>
  </r>
  <r>
    <s v="TXN-00821"/>
    <x v="627"/>
    <x v="4"/>
    <s v="C008"/>
    <s v="Horizon Group"/>
    <x v="2"/>
    <s v="Seattle"/>
    <s v="PRD-001"/>
    <x v="5"/>
    <x v="1"/>
    <s v="Carol Davis"/>
    <x v="3"/>
    <n v="3"/>
    <n v="1199.99"/>
    <n v="3599.97"/>
    <n v="0"/>
    <n v="0"/>
    <n v="3599.97"/>
    <n v="288"/>
    <n v="3887.97"/>
    <x v="1"/>
  </r>
  <r>
    <s v="TXN-00989"/>
    <x v="628"/>
    <x v="4"/>
    <s v="C014"/>
    <s v="Nexus Trading"/>
    <x v="2"/>
    <s v="Denver"/>
    <s v="PRD-010"/>
    <x v="1"/>
    <x v="1"/>
    <s v="Carol Davis"/>
    <x v="0"/>
    <n v="11"/>
    <n v="89.99"/>
    <n v="989.89"/>
    <n v="0.05"/>
    <n v="49.49"/>
    <n v="940.4"/>
    <n v="75.23"/>
    <n v="1015.63"/>
    <x v="1"/>
  </r>
  <r>
    <s v="TXN-00992"/>
    <x v="629"/>
    <x v="4"/>
    <s v="C006"/>
    <s v="Foxfire Inc"/>
    <x v="1"/>
    <s v="Miami"/>
    <s v="PRD-011"/>
    <x v="7"/>
    <x v="1"/>
    <s v="Alice Morgan"/>
    <x v="3"/>
    <n v="22"/>
    <n v="249.99"/>
    <n v="5499.78"/>
    <n v="0.08"/>
    <n v="439.98"/>
    <n v="5059.8"/>
    <n v="404.78"/>
    <n v="0"/>
    <x v="0"/>
  </r>
  <r>
    <s v="TXN-00872"/>
    <x v="630"/>
    <x v="4"/>
    <s v="C012"/>
    <s v="Luminary Co"/>
    <x v="1"/>
    <s v="Dallas"/>
    <s v="PRD-003"/>
    <x v="14"/>
    <x v="1"/>
    <s v="Carol Davis"/>
    <x v="1"/>
    <n v="19"/>
    <n v="49.99"/>
    <n v="949.81"/>
    <n v="0.13"/>
    <n v="123.48"/>
    <n v="826.33"/>
    <n v="66.11"/>
    <n v="0"/>
    <x v="0"/>
  </r>
  <r>
    <s v="TXN-00986"/>
    <x v="630"/>
    <x v="4"/>
    <s v="C008"/>
    <s v="Horizon Group"/>
    <x v="2"/>
    <s v="Seattle"/>
    <s v="PRD-012"/>
    <x v="6"/>
    <x v="0"/>
    <s v="Carol Davis"/>
    <x v="0"/>
    <n v="6"/>
    <n v="5.99"/>
    <n v="35.94"/>
    <n v="0"/>
    <n v="0"/>
    <n v="35.94"/>
    <n v="2.88"/>
    <n v="0"/>
    <x v="0"/>
  </r>
  <r>
    <s v="TXN-00939"/>
    <x v="631"/>
    <x v="4"/>
    <s v="C011"/>
    <s v="Keystone Ventures"/>
    <x v="3"/>
    <s v="Washington DC"/>
    <s v="PRD-007"/>
    <x v="13"/>
    <x v="1"/>
    <s v="Eva Patel"/>
    <x v="0"/>
    <n v="28"/>
    <n v="129.99"/>
    <n v="3639.72"/>
    <n v="0.08"/>
    <n v="291.18"/>
    <n v="3348.54"/>
    <n v="267.88"/>
    <n v="3616.42"/>
    <x v="1"/>
  </r>
  <r>
    <s v="TXN-00999"/>
    <x v="631"/>
    <x v="4"/>
    <s v="C014"/>
    <s v="Nexus Trading"/>
    <x v="2"/>
    <s v="Denver"/>
    <s v="PRD-001"/>
    <x v="5"/>
    <x v="1"/>
    <s v="Eva Patel"/>
    <x v="2"/>
    <n v="2"/>
    <n v="1199.99"/>
    <n v="2399.98"/>
    <n v="0"/>
    <n v="0"/>
    <n v="2399.98"/>
    <n v="192"/>
    <n v="0"/>
    <x v="0"/>
  </r>
  <r>
    <s v="TXN-00858"/>
    <x v="632"/>
    <x v="4"/>
    <s v="C007"/>
    <s v="Global Dynamics"/>
    <x v="3"/>
    <s v="Philadelphia"/>
    <s v="PRD-003"/>
    <x v="14"/>
    <x v="1"/>
    <s v="David Kim"/>
    <x v="2"/>
    <n v="21"/>
    <n v="49.99"/>
    <n v="1049.79"/>
    <n v="0.08"/>
    <n v="83.98"/>
    <n v="965.81"/>
    <n v="77.260000000000005"/>
    <n v="0"/>
    <x v="0"/>
  </r>
  <r>
    <s v="TXN-00861"/>
    <x v="632"/>
    <x v="4"/>
    <s v="C009"/>
    <s v="Ironclad Partners"/>
    <x v="0"/>
    <s v="Detroit"/>
    <s v="PRD-001"/>
    <x v="5"/>
    <x v="1"/>
    <s v="Bob Chen"/>
    <x v="1"/>
    <n v="8"/>
    <n v="1199.99"/>
    <n v="9599.92"/>
    <n v="0.08"/>
    <n v="767.99"/>
    <n v="8831.93"/>
    <n v="706.55"/>
    <n v="9538.48"/>
    <x v="1"/>
  </r>
  <r>
    <s v="TXN-00915"/>
    <x v="633"/>
    <x v="4"/>
    <s v="C010"/>
    <s v="Jade Innovations"/>
    <x v="2"/>
    <s v="San Francisco"/>
    <s v="PRD-014"/>
    <x v="10"/>
    <x v="1"/>
    <s v="Carol Davis"/>
    <x v="4"/>
    <n v="4"/>
    <n v="479.99"/>
    <n v="1919.96"/>
    <n v="0"/>
    <n v="0"/>
    <n v="1919.96"/>
    <n v="153.6"/>
    <n v="2073.56"/>
    <x v="1"/>
  </r>
  <r>
    <s v="TXN-00959"/>
    <x v="633"/>
    <x v="4"/>
    <s v="C012"/>
    <s v="Luminary Co"/>
    <x v="1"/>
    <s v="Dallas"/>
    <s v="PRD-012"/>
    <x v="6"/>
    <x v="0"/>
    <s v="David Kim"/>
    <x v="1"/>
    <n v="9"/>
    <n v="5.99"/>
    <n v="53.91"/>
    <n v="0.08"/>
    <n v="4.3099999999999996"/>
    <n v="49.6"/>
    <n v="3.97"/>
    <n v="53.57"/>
    <x v="1"/>
  </r>
  <r>
    <s v="TXN-00953"/>
    <x v="634"/>
    <x v="4"/>
    <s v="C015"/>
    <s v="Orbit Industries"/>
    <x v="1"/>
    <s v="Houston"/>
    <s v="PRD-005"/>
    <x v="3"/>
    <x v="2"/>
    <s v="Carol Davis"/>
    <x v="1"/>
    <n v="8"/>
    <n v="599.99"/>
    <n v="4799.92"/>
    <n v="0.08"/>
    <n v="383.99"/>
    <n v="4415.93"/>
    <n v="353.27"/>
    <n v="0"/>
    <x v="0"/>
  </r>
  <r>
    <s v="TXN-00979"/>
    <x v="635"/>
    <x v="4"/>
    <s v="C013"/>
    <s v="Maverick Systems"/>
    <x v="0"/>
    <s v="Minneapolis"/>
    <s v="PRD-006"/>
    <x v="0"/>
    <x v="0"/>
    <s v="Alice Morgan"/>
    <x v="4"/>
    <n v="16"/>
    <n v="8.99"/>
    <n v="143.84"/>
    <n v="0.05"/>
    <n v="7.19"/>
    <n v="136.65"/>
    <n v="10.93"/>
    <n v="147.58000000000001"/>
    <x v="1"/>
  </r>
  <r>
    <s v="TXN-00874"/>
    <x v="636"/>
    <x v="4"/>
    <s v="C014"/>
    <s v="Nexus Trading"/>
    <x v="2"/>
    <s v="Denver"/>
    <s v="PRD-009"/>
    <x v="2"/>
    <x v="2"/>
    <s v="Eva Patel"/>
    <x v="1"/>
    <n v="20"/>
    <n v="39.99"/>
    <n v="799.8"/>
    <n v="0.16"/>
    <n v="127.97"/>
    <n v="671.83"/>
    <n v="53.75"/>
    <n v="725.58"/>
    <x v="1"/>
  </r>
  <r>
    <s v="TXN-00931"/>
    <x v="637"/>
    <x v="4"/>
    <s v="C005"/>
    <s v="Eagle Tech"/>
    <x v="0"/>
    <s v="Chicago"/>
    <s v="PRD-005"/>
    <x v="3"/>
    <x v="2"/>
    <s v="Eva Patel"/>
    <x v="0"/>
    <n v="13"/>
    <n v="599.99"/>
    <n v="7799.87"/>
    <n v="0.05"/>
    <n v="389.99"/>
    <n v="7409.88"/>
    <n v="592.79"/>
    <n v="8002.67"/>
    <x v="1"/>
  </r>
  <r>
    <s v="TXN-00927"/>
    <x v="638"/>
    <x v="4"/>
    <s v="C010"/>
    <s v="Jade Innovations"/>
    <x v="2"/>
    <s v="San Francisco"/>
    <s v="PRD-003"/>
    <x v="14"/>
    <x v="1"/>
    <s v="Bob Chen"/>
    <x v="0"/>
    <n v="8"/>
    <n v="49.99"/>
    <n v="399.92"/>
    <n v="0"/>
    <n v="0"/>
    <n v="399.92"/>
    <n v="31.99"/>
    <n v="431.91"/>
    <x v="2"/>
  </r>
  <r>
    <s v="TXN-01000"/>
    <x v="638"/>
    <x v="4"/>
    <s v="C005"/>
    <s v="Eagle Tech"/>
    <x v="0"/>
    <s v="Chicago"/>
    <s v="PRD-014"/>
    <x v="10"/>
    <x v="1"/>
    <s v="Alice Morgan"/>
    <x v="4"/>
    <n v="4"/>
    <n v="479.99"/>
    <n v="1919.96"/>
    <n v="0"/>
    <n v="0"/>
    <n v="1919.96"/>
    <n v="153.6"/>
    <n v="0"/>
    <x v="0"/>
  </r>
  <r>
    <s v="TXN-00944"/>
    <x v="639"/>
    <x v="4"/>
    <s v="C012"/>
    <s v="Luminary Co"/>
    <x v="1"/>
    <s v="Dallas"/>
    <s v="PRD-005"/>
    <x v="3"/>
    <x v="2"/>
    <s v="Alice Morgan"/>
    <x v="4"/>
    <n v="13"/>
    <n v="599.99"/>
    <n v="7799.87"/>
    <n v="0.05"/>
    <n v="389.99"/>
    <n v="7409.88"/>
    <n v="592.79"/>
    <n v="8002.67"/>
    <x v="1"/>
  </r>
  <r>
    <s v="TXN-00819"/>
    <x v="640"/>
    <x v="4"/>
    <s v="C002"/>
    <s v="Blue Ridge Corp"/>
    <x v="1"/>
    <s v="Atlanta"/>
    <s v="PRD-011"/>
    <x v="7"/>
    <x v="1"/>
    <s v="Bob Chen"/>
    <x v="4"/>
    <n v="14"/>
    <n v="249.99"/>
    <n v="3499.86"/>
    <n v="0.05"/>
    <n v="174.99"/>
    <n v="3324.87"/>
    <n v="265.99"/>
    <n v="3590.86"/>
    <x v="2"/>
  </r>
  <r>
    <s v="TXN-00993"/>
    <x v="641"/>
    <x v="4"/>
    <s v="C014"/>
    <s v="Nexus Trading"/>
    <x v="2"/>
    <s v="Denver"/>
    <s v="PRD-001"/>
    <x v="5"/>
    <x v="1"/>
    <s v="Bob Chen"/>
    <x v="4"/>
    <n v="7"/>
    <n v="1199.99"/>
    <n v="8399.93"/>
    <n v="0"/>
    <n v="0"/>
    <n v="8399.93"/>
    <n v="671.99"/>
    <n v="9071.92"/>
    <x v="1"/>
  </r>
  <r>
    <s v="TXN-00934"/>
    <x v="642"/>
    <x v="4"/>
    <s v="C015"/>
    <s v="Orbit Industries"/>
    <x v="1"/>
    <s v="Houston"/>
    <s v="PRD-009"/>
    <x v="2"/>
    <x v="2"/>
    <s v="Carol Davis"/>
    <x v="2"/>
    <n v="14"/>
    <n v="39.99"/>
    <n v="559.86"/>
    <n v="0.05"/>
    <n v="27.99"/>
    <n v="531.87"/>
    <n v="42.55"/>
    <n v="574.41999999999996"/>
    <x v="1"/>
  </r>
  <r>
    <s v="TXN-00865"/>
    <x v="643"/>
    <x v="4"/>
    <s v="C011"/>
    <s v="Keystone Ventures"/>
    <x v="3"/>
    <s v="Washington DC"/>
    <s v="PRD-003"/>
    <x v="14"/>
    <x v="1"/>
    <s v="David Kim"/>
    <x v="3"/>
    <n v="2"/>
    <n v="49.99"/>
    <n v="99.98"/>
    <n v="0"/>
    <n v="0"/>
    <n v="99.98"/>
    <n v="8"/>
    <n v="107.98"/>
    <x v="1"/>
  </r>
  <r>
    <s v="TXN-00876"/>
    <x v="644"/>
    <x v="4"/>
    <s v="C013"/>
    <s v="Maverick Systems"/>
    <x v="0"/>
    <s v="Minneapolis"/>
    <s v="PRD-009"/>
    <x v="2"/>
    <x v="2"/>
    <s v="Alice Morgan"/>
    <x v="3"/>
    <n v="22"/>
    <n v="39.99"/>
    <n v="879.78"/>
    <n v="0.08"/>
    <n v="70.38"/>
    <n v="809.4"/>
    <n v="64.75"/>
    <n v="874.15"/>
    <x v="1"/>
  </r>
  <r>
    <s v="TXN-00829"/>
    <x v="645"/>
    <x v="4"/>
    <s v="C012"/>
    <s v="Luminary Co"/>
    <x v="1"/>
    <s v="Dallas"/>
    <s v="PRD-003"/>
    <x v="14"/>
    <x v="1"/>
    <s v="David Kim"/>
    <x v="0"/>
    <n v="21"/>
    <n v="49.99"/>
    <n v="1049.79"/>
    <n v="0.08"/>
    <n v="83.98"/>
    <n v="965.81"/>
    <n v="77.260000000000005"/>
    <n v="1043.07"/>
    <x v="1"/>
  </r>
  <r>
    <s v="TXN-00870"/>
    <x v="645"/>
    <x v="4"/>
    <s v="C008"/>
    <s v="Horizon Group"/>
    <x v="2"/>
    <s v="Seattle"/>
    <s v="PRD-014"/>
    <x v="10"/>
    <x v="1"/>
    <s v="Bob Chen"/>
    <x v="4"/>
    <n v="20"/>
    <n v="479.99"/>
    <n v="9599.7999999999993"/>
    <n v="0.08"/>
    <n v="767.98"/>
    <n v="8831.82"/>
    <n v="706.55"/>
    <n v="9538.3700000000008"/>
    <x v="1"/>
  </r>
  <r>
    <s v="TXN-00852"/>
    <x v="646"/>
    <x v="4"/>
    <s v="C003"/>
    <s v="Crestview Ltd"/>
    <x v="3"/>
    <s v="Boston"/>
    <s v="PRD-003"/>
    <x v="14"/>
    <x v="1"/>
    <s v="Eva Patel"/>
    <x v="0"/>
    <n v="28"/>
    <n v="49.99"/>
    <n v="1399.72"/>
    <n v="0.08"/>
    <n v="111.98"/>
    <n v="1287.74"/>
    <n v="103.02"/>
    <n v="1390.76"/>
    <x v="2"/>
  </r>
  <r>
    <s v="TXN-00892"/>
    <x v="646"/>
    <x v="4"/>
    <s v="C003"/>
    <s v="Crestview Ltd"/>
    <x v="3"/>
    <s v="Boston"/>
    <s v="PRD-001"/>
    <x v="5"/>
    <x v="1"/>
    <s v="David Kim"/>
    <x v="3"/>
    <n v="27"/>
    <n v="1199.99"/>
    <n v="32399.73"/>
    <n v="0.08"/>
    <n v="2591.98"/>
    <n v="29807.75"/>
    <n v="2384.62"/>
    <n v="32192.37"/>
    <x v="1"/>
  </r>
  <r>
    <s v="TXN-00968"/>
    <x v="646"/>
    <x v="4"/>
    <s v="C013"/>
    <s v="Maverick Systems"/>
    <x v="0"/>
    <s v="Minneapolis"/>
    <s v="PRD-012"/>
    <x v="6"/>
    <x v="0"/>
    <s v="Alice Morgan"/>
    <x v="2"/>
    <n v="27"/>
    <n v="5.99"/>
    <n v="161.72999999999999"/>
    <n v="0.08"/>
    <n v="12.94"/>
    <n v="148.79"/>
    <n v="11.9"/>
    <n v="160.69"/>
    <x v="1"/>
  </r>
  <r>
    <s v="TXN-00820"/>
    <x v="647"/>
    <x v="4"/>
    <s v="C009"/>
    <s v="Ironclad Partners"/>
    <x v="0"/>
    <s v="Detroit"/>
    <s v="PRD-004"/>
    <x v="8"/>
    <x v="2"/>
    <s v="David Kim"/>
    <x v="3"/>
    <n v="22"/>
    <n v="349.99"/>
    <n v="7699.78"/>
    <n v="0.08"/>
    <n v="615.98"/>
    <n v="7083.8"/>
    <n v="566.70000000000005"/>
    <n v="7650.5"/>
    <x v="2"/>
  </r>
  <r>
    <s v="TXN-00839"/>
    <x v="647"/>
    <x v="4"/>
    <s v="C006"/>
    <s v="Foxfire Inc"/>
    <x v="1"/>
    <s v="Miami"/>
    <s v="PRD-008"/>
    <x v="12"/>
    <x v="1"/>
    <s v="Eva Patel"/>
    <x v="2"/>
    <n v="19"/>
    <n v="399.99"/>
    <n v="7599.81"/>
    <n v="0.05"/>
    <n v="379.99"/>
    <n v="7219.82"/>
    <n v="577.59"/>
    <n v="7797.41"/>
    <x v="2"/>
  </r>
  <r>
    <s v="TXN-00806"/>
    <x v="648"/>
    <x v="4"/>
    <s v="C005"/>
    <s v="Eagle Tech"/>
    <x v="0"/>
    <s v="Chicago"/>
    <s v="PRD-014"/>
    <x v="10"/>
    <x v="1"/>
    <s v="Alice Morgan"/>
    <x v="2"/>
    <n v="23"/>
    <n v="479.99"/>
    <n v="11039.77"/>
    <n v="0.08"/>
    <n v="883.18"/>
    <n v="10156.59"/>
    <n v="812.53"/>
    <n v="10969.12"/>
    <x v="1"/>
  </r>
  <r>
    <s v="TXN-00884"/>
    <x v="648"/>
    <x v="4"/>
    <s v="C012"/>
    <s v="Luminary Co"/>
    <x v="1"/>
    <s v="Dallas"/>
    <s v="PRD-004"/>
    <x v="8"/>
    <x v="2"/>
    <s v="Carol Davis"/>
    <x v="1"/>
    <n v="4"/>
    <n v="349.99"/>
    <n v="1399.96"/>
    <n v="0.08"/>
    <n v="112"/>
    <n v="1287.96"/>
    <n v="103.04"/>
    <n v="1391"/>
    <x v="1"/>
  </r>
  <r>
    <s v="TXN-00946"/>
    <x v="648"/>
    <x v="4"/>
    <s v="C013"/>
    <s v="Maverick Systems"/>
    <x v="0"/>
    <s v="Minneapolis"/>
    <s v="PRD-009"/>
    <x v="2"/>
    <x v="2"/>
    <s v="Alice Morgan"/>
    <x v="3"/>
    <n v="20"/>
    <n v="39.99"/>
    <n v="799.8"/>
    <n v="0.08"/>
    <n v="63.98"/>
    <n v="735.82"/>
    <n v="58.87"/>
    <n v="794.69"/>
    <x v="1"/>
  </r>
  <r>
    <s v="TXN-00978"/>
    <x v="648"/>
    <x v="4"/>
    <s v="C001"/>
    <s v="Apex Solutions"/>
    <x v="0"/>
    <s v="New York"/>
    <s v="PRD-001"/>
    <x v="5"/>
    <x v="1"/>
    <s v="Eva Patel"/>
    <x v="1"/>
    <n v="20"/>
    <n v="1199.99"/>
    <n v="23999.8"/>
    <n v="0.16"/>
    <n v="3839.97"/>
    <n v="20159.830000000002"/>
    <n v="1612.79"/>
    <n v="21772.62"/>
    <x v="2"/>
  </r>
  <r>
    <s v="TXN-00862"/>
    <x v="649"/>
    <x v="4"/>
    <s v="C011"/>
    <s v="Keystone Ventures"/>
    <x v="3"/>
    <s v="Washington DC"/>
    <s v="PRD-009"/>
    <x v="2"/>
    <x v="2"/>
    <s v="Carol Davis"/>
    <x v="4"/>
    <n v="6"/>
    <n v="39.99"/>
    <n v="239.94"/>
    <n v="0"/>
    <n v="0"/>
    <n v="239.94"/>
    <n v="19.2"/>
    <n v="259.14"/>
    <x v="1"/>
  </r>
  <r>
    <s v="TXN-00958"/>
    <x v="650"/>
    <x v="4"/>
    <s v="C007"/>
    <s v="Global Dynamics"/>
    <x v="3"/>
    <s v="Philadelphia"/>
    <s v="PRD-004"/>
    <x v="8"/>
    <x v="2"/>
    <s v="Eva Patel"/>
    <x v="1"/>
    <n v="8"/>
    <n v="349.99"/>
    <n v="2799.92"/>
    <n v="0.08"/>
    <n v="223.99"/>
    <n v="2575.9299999999998"/>
    <n v="206.07"/>
    <n v="2782"/>
    <x v="1"/>
  </r>
  <r>
    <s v="TXN-00976"/>
    <x v="651"/>
    <x v="4"/>
    <s v="C002"/>
    <s v="Blue Ridge Corp"/>
    <x v="1"/>
    <s v="Atlanta"/>
    <s v="PRD-004"/>
    <x v="8"/>
    <x v="2"/>
    <s v="Bob Chen"/>
    <x v="1"/>
    <n v="1"/>
    <n v="349.99"/>
    <n v="349.99"/>
    <n v="0.08"/>
    <n v="28"/>
    <n v="321.99"/>
    <n v="25.76"/>
    <n v="347.75"/>
    <x v="1"/>
  </r>
  <r>
    <s v="TXN-00948"/>
    <x v="652"/>
    <x v="4"/>
    <s v="C011"/>
    <s v="Keystone Ventures"/>
    <x v="3"/>
    <s v="Washington DC"/>
    <s v="PRD-008"/>
    <x v="12"/>
    <x v="1"/>
    <s v="Bob Chen"/>
    <x v="4"/>
    <n v="27"/>
    <n v="399.99"/>
    <n v="10799.73"/>
    <n v="0.08"/>
    <n v="863.98"/>
    <n v="9935.75"/>
    <n v="794.86"/>
    <n v="0"/>
    <x v="0"/>
  </r>
  <r>
    <s v="TXN-00903"/>
    <x v="653"/>
    <x v="4"/>
    <s v="C008"/>
    <s v="Horizon Group"/>
    <x v="2"/>
    <s v="Seattle"/>
    <s v="PRD-004"/>
    <x v="8"/>
    <x v="2"/>
    <s v="David Kim"/>
    <x v="0"/>
    <n v="9"/>
    <n v="349.99"/>
    <n v="3149.91"/>
    <n v="0"/>
    <n v="0"/>
    <n v="3149.91"/>
    <n v="251.99"/>
    <n v="3401.9"/>
    <x v="1"/>
  </r>
  <r>
    <s v="TXN-00887"/>
    <x v="654"/>
    <x v="4"/>
    <s v="C004"/>
    <s v="Delta Enterprises"/>
    <x v="2"/>
    <s v="Los Angeles"/>
    <s v="PRD-013"/>
    <x v="4"/>
    <x v="2"/>
    <s v="David Kim"/>
    <x v="0"/>
    <n v="16"/>
    <n v="229.99"/>
    <n v="3679.84"/>
    <n v="0.05"/>
    <n v="183.99"/>
    <n v="3495.85"/>
    <n v="279.67"/>
    <n v="0"/>
    <x v="0"/>
  </r>
  <r>
    <s v="TXN-00911"/>
    <x v="654"/>
    <x v="4"/>
    <s v="C012"/>
    <s v="Luminary Co"/>
    <x v="1"/>
    <s v="Dallas"/>
    <s v="PRD-011"/>
    <x v="7"/>
    <x v="1"/>
    <s v="Carol Davis"/>
    <x v="3"/>
    <n v="30"/>
    <n v="249.99"/>
    <n v="7499.7"/>
    <n v="0.08"/>
    <n v="599.98"/>
    <n v="6899.72"/>
    <n v="551.98"/>
    <n v="0"/>
    <x v="0"/>
  </r>
  <r>
    <s v="TXN-00867"/>
    <x v="655"/>
    <x v="4"/>
    <s v="C010"/>
    <s v="Jade Innovations"/>
    <x v="2"/>
    <s v="San Francisco"/>
    <s v="PRD-015"/>
    <x v="11"/>
    <x v="0"/>
    <s v="Bob Chen"/>
    <x v="3"/>
    <n v="9"/>
    <n v="79.989999999999995"/>
    <n v="719.91"/>
    <n v="0"/>
    <n v="0"/>
    <n v="719.91"/>
    <n v="57.59"/>
    <n v="777.5"/>
    <x v="1"/>
  </r>
  <r>
    <s v="TXN-00969"/>
    <x v="655"/>
    <x v="4"/>
    <s v="C005"/>
    <s v="Eagle Tech"/>
    <x v="0"/>
    <s v="Chicago"/>
    <s v="PRD-001"/>
    <x v="5"/>
    <x v="1"/>
    <s v="David Kim"/>
    <x v="3"/>
    <n v="16"/>
    <n v="1199.99"/>
    <n v="19199.84"/>
    <n v="0.05"/>
    <n v="959.99"/>
    <n v="18239.849999999999"/>
    <n v="1459.19"/>
    <n v="0"/>
    <x v="0"/>
  </r>
  <r>
    <s v="TXN-00912"/>
    <x v="656"/>
    <x v="4"/>
    <s v="C006"/>
    <s v="Foxfire Inc"/>
    <x v="1"/>
    <s v="Miami"/>
    <s v="PRD-008"/>
    <x v="12"/>
    <x v="1"/>
    <s v="Carol Davis"/>
    <x v="4"/>
    <n v="9"/>
    <n v="399.99"/>
    <n v="3599.91"/>
    <n v="0"/>
    <n v="0"/>
    <n v="3599.91"/>
    <n v="287.99"/>
    <n v="0"/>
    <x v="0"/>
  </r>
  <r>
    <s v="TXN-00961"/>
    <x v="657"/>
    <x v="4"/>
    <s v="C005"/>
    <s v="Eagle Tech"/>
    <x v="0"/>
    <s v="Chicago"/>
    <s v="PRD-011"/>
    <x v="7"/>
    <x v="1"/>
    <s v="Carol Davis"/>
    <x v="0"/>
    <n v="14"/>
    <n v="249.99"/>
    <n v="3499.86"/>
    <n v="0.05"/>
    <n v="174.99"/>
    <n v="3324.87"/>
    <n v="265.99"/>
    <n v="3590.86"/>
    <x v="1"/>
  </r>
  <r>
    <s v="TXN-00802"/>
    <x v="658"/>
    <x v="4"/>
    <s v="C006"/>
    <s v="Foxfire Inc"/>
    <x v="1"/>
    <s v="Miami"/>
    <s v="PRD-011"/>
    <x v="7"/>
    <x v="1"/>
    <s v="Eva Patel"/>
    <x v="0"/>
    <n v="20"/>
    <n v="249.99"/>
    <n v="4999.8"/>
    <n v="0.08"/>
    <n v="399.98"/>
    <n v="4599.82"/>
    <n v="367.99"/>
    <n v="4967.8100000000004"/>
    <x v="2"/>
  </r>
  <r>
    <s v="TXN-00971"/>
    <x v="659"/>
    <x v="4"/>
    <s v="C013"/>
    <s v="Maverick Systems"/>
    <x v="0"/>
    <s v="Minneapolis"/>
    <s v="PRD-007"/>
    <x v="13"/>
    <x v="1"/>
    <s v="David Kim"/>
    <x v="4"/>
    <n v="2"/>
    <n v="129.99"/>
    <n v="259.98"/>
    <n v="0"/>
    <n v="0"/>
    <n v="259.98"/>
    <n v="20.8"/>
    <n v="280.77999999999997"/>
    <x v="2"/>
  </r>
  <r>
    <s v="TXN-00873"/>
    <x v="660"/>
    <x v="4"/>
    <s v="C007"/>
    <s v="Global Dynamics"/>
    <x v="3"/>
    <s v="Philadelphia"/>
    <s v="PRD-004"/>
    <x v="8"/>
    <x v="2"/>
    <s v="David Kim"/>
    <x v="4"/>
    <n v="1"/>
    <n v="349.99"/>
    <n v="349.99"/>
    <n v="0"/>
    <n v="0"/>
    <n v="349.99"/>
    <n v="28"/>
    <n v="377.99"/>
    <x v="1"/>
  </r>
  <r>
    <s v="TXN-00896"/>
    <x v="660"/>
    <x v="4"/>
    <s v="C013"/>
    <s v="Maverick Systems"/>
    <x v="0"/>
    <s v="Minneapolis"/>
    <s v="PRD-001"/>
    <x v="5"/>
    <x v="1"/>
    <s v="Bob Chen"/>
    <x v="1"/>
    <n v="1"/>
    <n v="1199.99"/>
    <n v="1199.99"/>
    <n v="0.08"/>
    <n v="96"/>
    <n v="1103.99"/>
    <n v="88.32"/>
    <n v="1192.31"/>
    <x v="1"/>
  </r>
  <r>
    <s v="TXN-00828"/>
    <x v="661"/>
    <x v="4"/>
    <s v="C007"/>
    <s v="Global Dynamics"/>
    <x v="3"/>
    <s v="Philadelphia"/>
    <s v="PRD-007"/>
    <x v="13"/>
    <x v="1"/>
    <s v="Alice Morgan"/>
    <x v="1"/>
    <n v="18"/>
    <n v="129.99"/>
    <n v="2339.8200000000002"/>
    <n v="0.13"/>
    <n v="304.18"/>
    <n v="2035.64"/>
    <n v="162.85"/>
    <n v="2198.4899999999998"/>
    <x v="1"/>
  </r>
  <r>
    <s v="TXN-00908"/>
    <x v="661"/>
    <x v="4"/>
    <s v="C002"/>
    <s v="Blue Ridge Corp"/>
    <x v="1"/>
    <s v="Atlanta"/>
    <s v="PRD-008"/>
    <x v="12"/>
    <x v="1"/>
    <s v="Carol Davis"/>
    <x v="3"/>
    <n v="21"/>
    <n v="399.99"/>
    <n v="8399.7900000000009"/>
    <n v="0.08"/>
    <n v="671.98"/>
    <n v="7727.81"/>
    <n v="618.22"/>
    <n v="8346.0300000000007"/>
    <x v="1"/>
  </r>
  <r>
    <s v="TXN-00833"/>
    <x v="662"/>
    <x v="4"/>
    <s v="C007"/>
    <s v="Global Dynamics"/>
    <x v="3"/>
    <s v="Philadelphia"/>
    <s v="PRD-004"/>
    <x v="8"/>
    <x v="2"/>
    <s v="Eva Patel"/>
    <x v="4"/>
    <n v="6"/>
    <n v="349.99"/>
    <n v="2099.94"/>
    <n v="0"/>
    <n v="0"/>
    <n v="2099.94"/>
    <n v="168"/>
    <n v="2267.94"/>
    <x v="1"/>
  </r>
  <r>
    <s v="TXN-00822"/>
    <x v="663"/>
    <x v="4"/>
    <s v="C013"/>
    <s v="Maverick Systems"/>
    <x v="0"/>
    <s v="Minneapolis"/>
    <s v="PRD-003"/>
    <x v="14"/>
    <x v="1"/>
    <s v="Carol Davis"/>
    <x v="0"/>
    <n v="19"/>
    <n v="49.99"/>
    <n v="949.81"/>
    <n v="0.05"/>
    <n v="47.49"/>
    <n v="902.32"/>
    <n v="72.19"/>
    <n v="974.51"/>
    <x v="1"/>
  </r>
  <r>
    <s v="TXN-00889"/>
    <x v="664"/>
    <x v="4"/>
    <s v="C013"/>
    <s v="Maverick Systems"/>
    <x v="0"/>
    <s v="Minneapolis"/>
    <s v="PRD-006"/>
    <x v="0"/>
    <x v="0"/>
    <s v="David Kim"/>
    <x v="4"/>
    <n v="4"/>
    <n v="8.99"/>
    <n v="35.96"/>
    <n v="0"/>
    <n v="0"/>
    <n v="35.96"/>
    <n v="2.88"/>
    <n v="38.840000000000003"/>
    <x v="2"/>
  </r>
  <r>
    <s v="TXN-00880"/>
    <x v="665"/>
    <x v="4"/>
    <s v="C002"/>
    <s v="Blue Ridge Corp"/>
    <x v="1"/>
    <s v="Atlanta"/>
    <s v="PRD-010"/>
    <x v="1"/>
    <x v="1"/>
    <s v="David Kim"/>
    <x v="4"/>
    <n v="16"/>
    <n v="89.99"/>
    <n v="1439.84"/>
    <n v="0.05"/>
    <n v="71.989999999999995"/>
    <n v="1367.85"/>
    <n v="109.43"/>
    <n v="1477.28"/>
    <x v="1"/>
  </r>
  <r>
    <s v="TXN-00981"/>
    <x v="665"/>
    <x v="4"/>
    <s v="C012"/>
    <s v="Luminary Co"/>
    <x v="1"/>
    <s v="Dallas"/>
    <s v="PRD-003"/>
    <x v="14"/>
    <x v="1"/>
    <s v="Eva Patel"/>
    <x v="3"/>
    <n v="16"/>
    <n v="49.99"/>
    <n v="799.84"/>
    <n v="0.05"/>
    <n v="39.99"/>
    <n v="759.85"/>
    <n v="60.79"/>
    <n v="820.64"/>
    <x v="1"/>
  </r>
  <r>
    <s v="TXN-00837"/>
    <x v="666"/>
    <x v="4"/>
    <s v="C006"/>
    <s v="Foxfire Inc"/>
    <x v="1"/>
    <s v="Miami"/>
    <s v="PRD-008"/>
    <x v="12"/>
    <x v="1"/>
    <s v="Carol Davis"/>
    <x v="4"/>
    <n v="21"/>
    <n v="399.99"/>
    <n v="8399.7900000000009"/>
    <n v="0.08"/>
    <n v="671.98"/>
    <n v="7727.81"/>
    <n v="618.22"/>
    <n v="8346.0300000000007"/>
    <x v="2"/>
  </r>
  <r>
    <s v="TXN-00913"/>
    <x v="666"/>
    <x v="4"/>
    <s v="C011"/>
    <s v="Keystone Ventures"/>
    <x v="3"/>
    <s v="Washington DC"/>
    <s v="PRD-012"/>
    <x v="6"/>
    <x v="0"/>
    <s v="Bob Chen"/>
    <x v="1"/>
    <n v="7"/>
    <n v="5.99"/>
    <n v="41.93"/>
    <n v="0.08"/>
    <n v="3.35"/>
    <n v="38.58"/>
    <n v="3.09"/>
    <n v="41.67"/>
    <x v="2"/>
  </r>
  <r>
    <s v="TXN-00850"/>
    <x v="667"/>
    <x v="4"/>
    <s v="C007"/>
    <s v="Global Dynamics"/>
    <x v="3"/>
    <s v="Philadelphia"/>
    <s v="PRD-002"/>
    <x v="9"/>
    <x v="1"/>
    <s v="Carol Davis"/>
    <x v="0"/>
    <n v="22"/>
    <n v="29.99"/>
    <n v="659.78"/>
    <n v="0.08"/>
    <n v="52.78"/>
    <n v="607"/>
    <n v="48.56"/>
    <n v="655.56"/>
    <x v="1"/>
  </r>
  <r>
    <s v="TXN-00906"/>
    <x v="668"/>
    <x v="4"/>
    <s v="C012"/>
    <s v="Luminary Co"/>
    <x v="1"/>
    <s v="Dallas"/>
    <s v="PRD-005"/>
    <x v="3"/>
    <x v="2"/>
    <s v="David Kim"/>
    <x v="1"/>
    <n v="16"/>
    <n v="599.99"/>
    <n v="9599.84"/>
    <n v="0.13"/>
    <n v="1247.98"/>
    <n v="8351.86"/>
    <n v="668.15"/>
    <n v="0"/>
    <x v="0"/>
  </r>
  <r>
    <s v="TXN-00977"/>
    <x v="668"/>
    <x v="4"/>
    <s v="C005"/>
    <s v="Eagle Tech"/>
    <x v="0"/>
    <s v="Chicago"/>
    <s v="PRD-013"/>
    <x v="4"/>
    <x v="2"/>
    <s v="Eva Patel"/>
    <x v="3"/>
    <n v="26"/>
    <n v="229.99"/>
    <n v="5979.74"/>
    <n v="0.08"/>
    <n v="478.38"/>
    <n v="5501.36"/>
    <n v="440.11"/>
    <n v="5941.47"/>
    <x v="1"/>
  </r>
  <r>
    <s v="TXN-00914"/>
    <x v="669"/>
    <x v="4"/>
    <s v="C004"/>
    <s v="Delta Enterprises"/>
    <x v="2"/>
    <s v="Los Angeles"/>
    <s v="PRD-012"/>
    <x v="6"/>
    <x v="0"/>
    <s v="Carol Davis"/>
    <x v="4"/>
    <n v="7"/>
    <n v="5.99"/>
    <n v="41.93"/>
    <n v="0"/>
    <n v="0"/>
    <n v="41.93"/>
    <n v="3.35"/>
    <n v="45.28"/>
    <x v="1"/>
  </r>
  <r>
    <s v="TXN-00970"/>
    <x v="669"/>
    <x v="4"/>
    <s v="C015"/>
    <s v="Orbit Industries"/>
    <x v="1"/>
    <s v="Houston"/>
    <s v="PRD-004"/>
    <x v="8"/>
    <x v="2"/>
    <s v="Carol Davis"/>
    <x v="1"/>
    <n v="4"/>
    <n v="349.99"/>
    <n v="1399.96"/>
    <n v="0.08"/>
    <n v="112"/>
    <n v="1287.96"/>
    <n v="103.04"/>
    <n v="1391"/>
    <x v="1"/>
  </r>
  <r>
    <s v="TXN-00800"/>
    <x v="670"/>
    <x v="4"/>
    <s v="C011"/>
    <s v="Keystone Ventures"/>
    <x v="3"/>
    <s v="Washington DC"/>
    <s v="PRD-013"/>
    <x v="4"/>
    <x v="2"/>
    <s v="Carol Davis"/>
    <x v="0"/>
    <n v="1"/>
    <n v="229.99"/>
    <n v="229.99"/>
    <n v="0"/>
    <n v="0"/>
    <n v="229.99"/>
    <n v="18.399999999999999"/>
    <n v="248.39"/>
    <x v="1"/>
  </r>
  <r>
    <s v="TXN-00995"/>
    <x v="671"/>
    <x v="4"/>
    <s v="C008"/>
    <s v="Horizon Group"/>
    <x v="2"/>
    <s v="Seattle"/>
    <s v="PRD-011"/>
    <x v="7"/>
    <x v="1"/>
    <s v="Eva Patel"/>
    <x v="0"/>
    <n v="19"/>
    <n v="249.99"/>
    <n v="4749.8100000000004"/>
    <n v="0.05"/>
    <n v="237.49"/>
    <n v="4512.32"/>
    <n v="360.99"/>
    <n v="4873.3100000000004"/>
    <x v="2"/>
  </r>
  <r>
    <s v="TXN-00923"/>
    <x v="672"/>
    <x v="4"/>
    <s v="C002"/>
    <s v="Blue Ridge Corp"/>
    <x v="1"/>
    <s v="Atlanta"/>
    <s v="PRD-010"/>
    <x v="1"/>
    <x v="1"/>
    <s v="Carol Davis"/>
    <x v="2"/>
    <n v="28"/>
    <n v="89.99"/>
    <n v="2519.7199999999998"/>
    <n v="0.08"/>
    <n v="201.58"/>
    <n v="2318.14"/>
    <n v="185.45"/>
    <n v="0"/>
    <x v="0"/>
  </r>
  <r>
    <s v="TXN-00844"/>
    <x v="673"/>
    <x v="4"/>
    <s v="C002"/>
    <s v="Blue Ridge Corp"/>
    <x v="1"/>
    <s v="Atlanta"/>
    <s v="PRD-010"/>
    <x v="1"/>
    <x v="1"/>
    <s v="Carol Davis"/>
    <x v="4"/>
    <n v="7"/>
    <n v="89.99"/>
    <n v="629.92999999999995"/>
    <n v="0"/>
    <n v="0"/>
    <n v="629.92999999999995"/>
    <n v="50.39"/>
    <n v="0"/>
    <x v="0"/>
  </r>
  <r>
    <s v="TXN-00893"/>
    <x v="673"/>
    <x v="4"/>
    <s v="C015"/>
    <s v="Orbit Industries"/>
    <x v="1"/>
    <s v="Houston"/>
    <s v="PRD-008"/>
    <x v="12"/>
    <x v="1"/>
    <s v="Eva Patel"/>
    <x v="1"/>
    <n v="3"/>
    <n v="399.99"/>
    <n v="1199.97"/>
    <n v="0.08"/>
    <n v="96"/>
    <n v="1103.97"/>
    <n v="88.32"/>
    <n v="1192.29"/>
    <x v="1"/>
  </r>
  <r>
    <s v="TXN-00871"/>
    <x v="674"/>
    <x v="4"/>
    <s v="C010"/>
    <s v="Jade Innovations"/>
    <x v="2"/>
    <s v="San Francisco"/>
    <s v="PRD-013"/>
    <x v="4"/>
    <x v="2"/>
    <s v="Bob Chen"/>
    <x v="0"/>
    <n v="17"/>
    <n v="229.99"/>
    <n v="3909.83"/>
    <n v="0.05"/>
    <n v="195.49"/>
    <n v="3714.34"/>
    <n v="297.14999999999998"/>
    <n v="4011.49"/>
    <x v="2"/>
  </r>
  <r>
    <s v="TXN-00941"/>
    <x v="675"/>
    <x v="4"/>
    <s v="C012"/>
    <s v="Luminary Co"/>
    <x v="1"/>
    <s v="Dallas"/>
    <s v="PRD-005"/>
    <x v="3"/>
    <x v="2"/>
    <s v="Carol Davis"/>
    <x v="0"/>
    <n v="13"/>
    <n v="599.99"/>
    <n v="7799.87"/>
    <n v="0.05"/>
    <n v="389.99"/>
    <n v="7409.88"/>
    <n v="592.79"/>
    <n v="8002.67"/>
    <x v="2"/>
  </r>
  <r>
    <s v="TXN-00947"/>
    <x v="676"/>
    <x v="4"/>
    <s v="C011"/>
    <s v="Keystone Ventures"/>
    <x v="3"/>
    <s v="Washington DC"/>
    <s v="PRD-002"/>
    <x v="9"/>
    <x v="1"/>
    <s v="David Kim"/>
    <x v="2"/>
    <n v="8"/>
    <n v="29.99"/>
    <n v="239.92"/>
    <n v="0"/>
    <n v="0"/>
    <n v="239.92"/>
    <n v="19.190000000000001"/>
    <n v="259.11"/>
    <x v="1"/>
  </r>
  <r>
    <s v="TXN-00937"/>
    <x v="677"/>
    <x v="4"/>
    <s v="C008"/>
    <s v="Horizon Group"/>
    <x v="2"/>
    <s v="Seattle"/>
    <s v="PRD-009"/>
    <x v="2"/>
    <x v="2"/>
    <s v="David Kim"/>
    <x v="3"/>
    <n v="20"/>
    <n v="39.99"/>
    <n v="799.8"/>
    <n v="0.08"/>
    <n v="63.98"/>
    <n v="735.82"/>
    <n v="58.87"/>
    <n v="794.69"/>
    <x v="1"/>
  </r>
  <r>
    <s v="TXN-00826"/>
    <x v="678"/>
    <x v="4"/>
    <s v="C014"/>
    <s v="Nexus Trading"/>
    <x v="2"/>
    <s v="Denver"/>
    <s v="PRD-012"/>
    <x v="6"/>
    <x v="0"/>
    <s v="Alice Morgan"/>
    <x v="2"/>
    <n v="4"/>
    <n v="5.99"/>
    <n v="23.96"/>
    <n v="0"/>
    <n v="0"/>
    <n v="23.96"/>
    <n v="1.92"/>
    <n v="0"/>
    <x v="0"/>
  </r>
  <r>
    <s v="TXN-00904"/>
    <x v="679"/>
    <x v="4"/>
    <s v="C009"/>
    <s v="Ironclad Partners"/>
    <x v="0"/>
    <s v="Detroit"/>
    <s v="PRD-007"/>
    <x v="13"/>
    <x v="1"/>
    <s v="Alice Morgan"/>
    <x v="0"/>
    <n v="17"/>
    <n v="129.99"/>
    <n v="2209.83"/>
    <n v="0.05"/>
    <n v="110.49"/>
    <n v="2099.34"/>
    <n v="167.95"/>
    <n v="2267.29"/>
    <x v="1"/>
  </r>
  <r>
    <s v="TXN-00954"/>
    <x v="680"/>
    <x v="4"/>
    <s v="C005"/>
    <s v="Eagle Tech"/>
    <x v="0"/>
    <s v="Chicago"/>
    <s v="PRD-008"/>
    <x v="12"/>
    <x v="1"/>
    <s v="Carol Davis"/>
    <x v="1"/>
    <n v="5"/>
    <n v="399.99"/>
    <n v="1999.95"/>
    <n v="0.08"/>
    <n v="160"/>
    <n v="1839.95"/>
    <n v="147.19999999999999"/>
    <n v="1987.15"/>
    <x v="1"/>
  </r>
  <r>
    <s v="TXN-00817"/>
    <x v="681"/>
    <x v="4"/>
    <s v="C008"/>
    <s v="Horizon Group"/>
    <x v="2"/>
    <s v="Seattle"/>
    <s v="PRD-008"/>
    <x v="12"/>
    <x v="1"/>
    <s v="Alice Morgan"/>
    <x v="2"/>
    <n v="7"/>
    <n v="399.99"/>
    <n v="2799.93"/>
    <n v="0"/>
    <n v="0"/>
    <n v="2799.93"/>
    <n v="223.99"/>
    <n v="3023.92"/>
    <x v="2"/>
  </r>
  <r>
    <s v="TXN-00985"/>
    <x v="682"/>
    <x v="4"/>
    <s v="C004"/>
    <s v="Delta Enterprises"/>
    <x v="2"/>
    <s v="Los Angeles"/>
    <s v="PRD-008"/>
    <x v="12"/>
    <x v="1"/>
    <s v="Eva Patel"/>
    <x v="4"/>
    <n v="12"/>
    <n v="399.99"/>
    <n v="4799.88"/>
    <n v="0.05"/>
    <n v="239.99"/>
    <n v="4559.8900000000003"/>
    <n v="364.79"/>
    <n v="0"/>
    <x v="0"/>
  </r>
  <r>
    <s v="TXN-00811"/>
    <x v="683"/>
    <x v="4"/>
    <s v="C002"/>
    <s v="Blue Ridge Corp"/>
    <x v="1"/>
    <s v="Atlanta"/>
    <s v="PRD-007"/>
    <x v="13"/>
    <x v="1"/>
    <s v="Carol Davis"/>
    <x v="4"/>
    <n v="22"/>
    <n v="129.99"/>
    <n v="2859.78"/>
    <n v="0.08"/>
    <n v="228.78"/>
    <n v="2631"/>
    <n v="210.48"/>
    <n v="2841.48"/>
    <x v="1"/>
  </r>
  <r>
    <s v="TXN-00863"/>
    <x v="683"/>
    <x v="4"/>
    <s v="C010"/>
    <s v="Jade Innovations"/>
    <x v="2"/>
    <s v="San Francisco"/>
    <s v="PRD-006"/>
    <x v="0"/>
    <x v="0"/>
    <s v="Alice Morgan"/>
    <x v="4"/>
    <n v="26"/>
    <n v="8.99"/>
    <n v="233.74"/>
    <n v="0.08"/>
    <n v="18.7"/>
    <n v="215.04"/>
    <n v="17.2"/>
    <n v="232.24"/>
    <x v="1"/>
  </r>
  <r>
    <s v="TXN-00938"/>
    <x v="684"/>
    <x v="4"/>
    <s v="C011"/>
    <s v="Keystone Ventures"/>
    <x v="3"/>
    <s v="Washington DC"/>
    <s v="PRD-008"/>
    <x v="12"/>
    <x v="1"/>
    <s v="Bob Chen"/>
    <x v="4"/>
    <n v="26"/>
    <n v="399.99"/>
    <n v="10399.74"/>
    <n v="0.08"/>
    <n v="831.98"/>
    <n v="9567.76"/>
    <n v="765.42"/>
    <n v="10333.18"/>
    <x v="2"/>
  </r>
  <r>
    <s v="TXN-00832"/>
    <x v="685"/>
    <x v="4"/>
    <s v="C009"/>
    <s v="Ironclad Partners"/>
    <x v="0"/>
    <s v="Detroit"/>
    <s v="PRD-009"/>
    <x v="2"/>
    <x v="2"/>
    <s v="Alice Morgan"/>
    <x v="2"/>
    <n v="24"/>
    <n v="39.99"/>
    <n v="959.76"/>
    <n v="0.08"/>
    <n v="76.78"/>
    <n v="882.98"/>
    <n v="70.64"/>
    <n v="953.62"/>
    <x v="1"/>
  </r>
  <r>
    <s v="TXN-00920"/>
    <x v="686"/>
    <x v="4"/>
    <s v="C007"/>
    <s v="Global Dynamics"/>
    <x v="3"/>
    <s v="Philadelphia"/>
    <s v="PRD-013"/>
    <x v="4"/>
    <x v="2"/>
    <s v="David Kim"/>
    <x v="0"/>
    <n v="17"/>
    <n v="229.99"/>
    <n v="3909.83"/>
    <n v="0.05"/>
    <n v="195.49"/>
    <n v="3714.34"/>
    <n v="297.14999999999998"/>
    <n v="4011.49"/>
    <x v="1"/>
  </r>
  <r>
    <s v="TXN-00859"/>
    <x v="687"/>
    <x v="4"/>
    <s v="C005"/>
    <s v="Eagle Tech"/>
    <x v="0"/>
    <s v="Chicago"/>
    <s v="PRD-009"/>
    <x v="2"/>
    <x v="2"/>
    <s v="David Kim"/>
    <x v="4"/>
    <n v="13"/>
    <n v="39.99"/>
    <n v="519.87"/>
    <n v="0.05"/>
    <n v="25.99"/>
    <n v="493.88"/>
    <n v="39.51"/>
    <n v="0"/>
    <x v="0"/>
  </r>
  <r>
    <s v="TXN-00808"/>
    <x v="688"/>
    <x v="4"/>
    <s v="C014"/>
    <s v="Nexus Trading"/>
    <x v="2"/>
    <s v="Denver"/>
    <s v="PRD-010"/>
    <x v="1"/>
    <x v="1"/>
    <s v="Carol Davis"/>
    <x v="1"/>
    <n v="18"/>
    <n v="89.99"/>
    <n v="1619.82"/>
    <n v="0.13"/>
    <n v="210.58"/>
    <n v="1409.24"/>
    <n v="112.74"/>
    <n v="0"/>
    <x v="0"/>
  </r>
  <r>
    <s v="TXN-00842"/>
    <x v="688"/>
    <x v="4"/>
    <s v="C011"/>
    <s v="Keystone Ventures"/>
    <x v="3"/>
    <s v="Washington DC"/>
    <s v="PRD-003"/>
    <x v="14"/>
    <x v="1"/>
    <s v="Carol Davis"/>
    <x v="1"/>
    <n v="15"/>
    <n v="49.99"/>
    <n v="749.85"/>
    <n v="0.13"/>
    <n v="97.48"/>
    <n v="652.37"/>
    <n v="52.19"/>
    <n v="704.56"/>
    <x v="1"/>
  </r>
  <r>
    <s v="TXN-00841"/>
    <x v="689"/>
    <x v="4"/>
    <s v="C004"/>
    <s v="Delta Enterprises"/>
    <x v="2"/>
    <s v="Los Angeles"/>
    <s v="PRD-006"/>
    <x v="0"/>
    <x v="0"/>
    <s v="Bob Chen"/>
    <x v="1"/>
    <n v="27"/>
    <n v="8.99"/>
    <n v="242.73"/>
    <n v="0.16"/>
    <n v="38.840000000000003"/>
    <n v="203.89"/>
    <n v="16.309999999999999"/>
    <n v="220.2"/>
    <x v="1"/>
  </r>
  <r>
    <s v="TXN-00987"/>
    <x v="690"/>
    <x v="4"/>
    <s v="C003"/>
    <s v="Crestview Ltd"/>
    <x v="3"/>
    <s v="Boston"/>
    <s v="PRD-009"/>
    <x v="2"/>
    <x v="2"/>
    <s v="David Kim"/>
    <x v="2"/>
    <n v="18"/>
    <n v="39.99"/>
    <n v="719.82"/>
    <n v="0.05"/>
    <n v="35.99"/>
    <n v="683.83"/>
    <n v="54.71"/>
    <n v="738.54"/>
    <x v="1"/>
  </r>
  <r>
    <s v="TXN-00957"/>
    <x v="691"/>
    <x v="4"/>
    <s v="C005"/>
    <s v="Eagle Tech"/>
    <x v="0"/>
    <s v="Chicago"/>
    <s v="PRD-013"/>
    <x v="4"/>
    <x v="2"/>
    <s v="Eva Patel"/>
    <x v="4"/>
    <n v="18"/>
    <n v="229.99"/>
    <n v="4139.82"/>
    <n v="0.05"/>
    <n v="206.99"/>
    <n v="3932.83"/>
    <n v="314.63"/>
    <n v="4247.46"/>
    <x v="1"/>
  </r>
  <r>
    <s v="TXN-00922"/>
    <x v="692"/>
    <x v="4"/>
    <s v="C006"/>
    <s v="Foxfire Inc"/>
    <x v="1"/>
    <s v="Miami"/>
    <s v="PRD-008"/>
    <x v="12"/>
    <x v="1"/>
    <s v="Alice Morgan"/>
    <x v="3"/>
    <n v="7"/>
    <n v="399.99"/>
    <n v="2799.93"/>
    <n v="0"/>
    <n v="0"/>
    <n v="2799.93"/>
    <n v="223.99"/>
    <n v="3023.92"/>
    <x v="2"/>
  </r>
  <r>
    <s v="TXN-00928"/>
    <x v="693"/>
    <x v="4"/>
    <s v="C005"/>
    <s v="Eagle Tech"/>
    <x v="0"/>
    <s v="Chicago"/>
    <s v="PRD-012"/>
    <x v="6"/>
    <x v="0"/>
    <s v="Bob Chen"/>
    <x v="0"/>
    <n v="28"/>
    <n v="5.99"/>
    <n v="167.72"/>
    <n v="0.08"/>
    <n v="13.42"/>
    <n v="154.30000000000001"/>
    <n v="12.34"/>
    <n v="166.64"/>
    <x v="1"/>
  </r>
  <r>
    <s v="TXN-00894"/>
    <x v="694"/>
    <x v="4"/>
    <s v="C006"/>
    <s v="Foxfire Inc"/>
    <x v="1"/>
    <s v="Miami"/>
    <s v="PRD-004"/>
    <x v="8"/>
    <x v="2"/>
    <s v="Alice Morgan"/>
    <x v="0"/>
    <n v="24"/>
    <n v="349.99"/>
    <n v="8399.76"/>
    <n v="0.08"/>
    <n v="671.98"/>
    <n v="7727.78"/>
    <n v="618.22"/>
    <n v="8346"/>
    <x v="1"/>
  </r>
  <r>
    <s v="TXN-00994"/>
    <x v="695"/>
    <x v="4"/>
    <s v="C004"/>
    <s v="Delta Enterprises"/>
    <x v="2"/>
    <s v="Los Angeles"/>
    <s v="PRD-008"/>
    <x v="12"/>
    <x v="1"/>
    <s v="Alice Morgan"/>
    <x v="3"/>
    <n v="21"/>
    <n v="399.99"/>
    <n v="8399.7900000000009"/>
    <n v="0.08"/>
    <n v="671.98"/>
    <n v="7727.81"/>
    <n v="618.22"/>
    <n v="0"/>
    <x v="0"/>
  </r>
  <r>
    <s v="TXN-00831"/>
    <x v="696"/>
    <x v="4"/>
    <s v="C002"/>
    <s v="Blue Ridge Corp"/>
    <x v="1"/>
    <s v="Atlanta"/>
    <s v="PRD-003"/>
    <x v="14"/>
    <x v="1"/>
    <s v="Alice Morgan"/>
    <x v="3"/>
    <n v="20"/>
    <n v="49.99"/>
    <n v="999.8"/>
    <n v="0.08"/>
    <n v="79.98"/>
    <n v="919.82"/>
    <n v="73.59"/>
    <n v="0"/>
    <x v="0"/>
  </r>
  <r>
    <s v="TXN-00886"/>
    <x v="697"/>
    <x v="4"/>
    <s v="C010"/>
    <s v="Jade Innovations"/>
    <x v="2"/>
    <s v="San Francisco"/>
    <s v="PRD-007"/>
    <x v="13"/>
    <x v="1"/>
    <s v="Carol Davis"/>
    <x v="0"/>
    <n v="22"/>
    <n v="129.99"/>
    <n v="2859.78"/>
    <n v="0.08"/>
    <n v="228.78"/>
    <n v="2631"/>
    <n v="210.48"/>
    <n v="2841.48"/>
    <x v="1"/>
  </r>
  <r>
    <s v="TXN-00945"/>
    <x v="697"/>
    <x v="4"/>
    <s v="C002"/>
    <s v="Blue Ridge Corp"/>
    <x v="1"/>
    <s v="Atlanta"/>
    <s v="PRD-002"/>
    <x v="9"/>
    <x v="1"/>
    <s v="David Kim"/>
    <x v="0"/>
    <n v="1"/>
    <n v="29.99"/>
    <n v="29.99"/>
    <n v="0"/>
    <n v="0"/>
    <n v="29.99"/>
    <n v="2.4"/>
    <n v="32.39"/>
    <x v="1"/>
  </r>
  <r>
    <s v="TXN-00899"/>
    <x v="698"/>
    <x v="4"/>
    <s v="C004"/>
    <s v="Delta Enterprises"/>
    <x v="2"/>
    <s v="Los Angeles"/>
    <s v="PRD-006"/>
    <x v="0"/>
    <x v="0"/>
    <s v="Alice Morgan"/>
    <x v="4"/>
    <n v="9"/>
    <n v="8.99"/>
    <n v="80.91"/>
    <n v="0"/>
    <n v="0"/>
    <n v="80.91"/>
    <n v="6.47"/>
    <n v="87.38"/>
    <x v="1"/>
  </r>
  <r>
    <s v="TXN-00910"/>
    <x v="698"/>
    <x v="4"/>
    <s v="C001"/>
    <s v="Apex Solutions"/>
    <x v="0"/>
    <s v="New York"/>
    <s v="PRD-009"/>
    <x v="2"/>
    <x v="2"/>
    <s v="Carol Davis"/>
    <x v="4"/>
    <n v="3"/>
    <n v="39.99"/>
    <n v="119.97"/>
    <n v="0"/>
    <n v="0"/>
    <n v="119.97"/>
    <n v="9.6"/>
    <n v="129.57"/>
    <x v="1"/>
  </r>
  <r>
    <s v="TXN-00890"/>
    <x v="699"/>
    <x v="4"/>
    <s v="C013"/>
    <s v="Maverick Systems"/>
    <x v="0"/>
    <s v="Minneapolis"/>
    <s v="PRD-008"/>
    <x v="12"/>
    <x v="1"/>
    <s v="Bob Chen"/>
    <x v="3"/>
    <n v="17"/>
    <n v="399.99"/>
    <n v="6799.83"/>
    <n v="0.05"/>
    <n v="339.99"/>
    <n v="6459.84"/>
    <n v="516.79"/>
    <n v="6976.63"/>
    <x v="1"/>
  </r>
  <r>
    <s v="TXN-00823"/>
    <x v="700"/>
    <x v="4"/>
    <s v="C005"/>
    <s v="Eagle Tech"/>
    <x v="0"/>
    <s v="Chicago"/>
    <s v="PRD-015"/>
    <x v="11"/>
    <x v="0"/>
    <s v="David Kim"/>
    <x v="1"/>
    <n v="21"/>
    <n v="79.989999999999995"/>
    <n v="1679.79"/>
    <n v="0.16"/>
    <n v="268.77"/>
    <n v="1411.02"/>
    <n v="112.88"/>
    <n v="1523.9"/>
    <x v="1"/>
  </r>
  <r>
    <s v="TXN-00991"/>
    <x v="701"/>
    <x v="4"/>
    <s v="C009"/>
    <s v="Ironclad Partners"/>
    <x v="0"/>
    <s v="Detroit"/>
    <s v="PRD-013"/>
    <x v="4"/>
    <x v="2"/>
    <s v="Bob Chen"/>
    <x v="0"/>
    <n v="11"/>
    <n v="229.99"/>
    <n v="2529.89"/>
    <n v="0.05"/>
    <n v="126.49"/>
    <n v="2403.4"/>
    <n v="192.27"/>
    <n v="2595.67"/>
    <x v="1"/>
  </r>
  <r>
    <s v="TXN-00942"/>
    <x v="702"/>
    <x v="4"/>
    <s v="C008"/>
    <s v="Horizon Group"/>
    <x v="2"/>
    <s v="Seattle"/>
    <s v="PRD-015"/>
    <x v="11"/>
    <x v="0"/>
    <s v="Carol Davis"/>
    <x v="0"/>
    <n v="15"/>
    <n v="79.989999999999995"/>
    <n v="1199.8499999999999"/>
    <n v="0.05"/>
    <n v="59.99"/>
    <n v="1139.8599999999999"/>
    <n v="91.19"/>
    <n v="0"/>
    <x v="0"/>
  </r>
  <r>
    <s v="TXN-00799"/>
    <x v="703"/>
    <x v="4"/>
    <s v="C009"/>
    <s v="Ironclad Partners"/>
    <x v="0"/>
    <s v="Detroit"/>
    <s v="PRD-004"/>
    <x v="8"/>
    <x v="2"/>
    <s v="Carol Davis"/>
    <x v="3"/>
    <n v="13"/>
    <n v="349.99"/>
    <n v="4549.87"/>
    <n v="0.05"/>
    <n v="227.49"/>
    <n v="4322.38"/>
    <n v="345.79"/>
    <n v="4668.17"/>
    <x v="1"/>
  </r>
  <r>
    <s v="TXN-00925"/>
    <x v="704"/>
    <x v="4"/>
    <s v="C006"/>
    <s v="Foxfire Inc"/>
    <x v="1"/>
    <s v="Miami"/>
    <s v="PRD-006"/>
    <x v="0"/>
    <x v="0"/>
    <s v="Bob Chen"/>
    <x v="1"/>
    <n v="7"/>
    <n v="8.99"/>
    <n v="62.93"/>
    <n v="0.08"/>
    <n v="5.03"/>
    <n v="57.9"/>
    <n v="4.63"/>
    <n v="62.53"/>
    <x v="1"/>
  </r>
  <r>
    <s v="TXN-00929"/>
    <x v="705"/>
    <x v="4"/>
    <s v="C003"/>
    <s v="Crestview Ltd"/>
    <x v="3"/>
    <s v="Boston"/>
    <s v="PRD-004"/>
    <x v="8"/>
    <x v="2"/>
    <s v="Bob Chen"/>
    <x v="1"/>
    <n v="6"/>
    <n v="349.99"/>
    <n v="2099.94"/>
    <n v="0.08"/>
    <n v="168"/>
    <n v="1931.94"/>
    <n v="154.56"/>
    <n v="2086.5"/>
    <x v="1"/>
  </r>
  <r>
    <s v="TXN-00878"/>
    <x v="706"/>
    <x v="4"/>
    <s v="C007"/>
    <s v="Global Dynamics"/>
    <x v="3"/>
    <s v="Philadelphia"/>
    <s v="PRD-009"/>
    <x v="2"/>
    <x v="2"/>
    <s v="Carol Davis"/>
    <x v="3"/>
    <n v="17"/>
    <n v="39.99"/>
    <n v="679.83"/>
    <n v="0.05"/>
    <n v="33.99"/>
    <n v="645.84"/>
    <n v="51.67"/>
    <n v="697.51"/>
    <x v="2"/>
  </r>
  <r>
    <s v="TXN-00877"/>
    <x v="707"/>
    <x v="4"/>
    <s v="C010"/>
    <s v="Jade Innovations"/>
    <x v="2"/>
    <s v="San Francisco"/>
    <s v="PRD-015"/>
    <x v="11"/>
    <x v="0"/>
    <s v="Eva Patel"/>
    <x v="3"/>
    <n v="21"/>
    <n v="79.989999999999995"/>
    <n v="1679.79"/>
    <n v="0.08"/>
    <n v="134.38"/>
    <n v="1545.41"/>
    <n v="123.63"/>
    <n v="1669.04"/>
    <x v="2"/>
  </r>
  <r>
    <s v="TXN-00956"/>
    <x v="707"/>
    <x v="4"/>
    <s v="C001"/>
    <s v="Apex Solutions"/>
    <x v="0"/>
    <s v="New York"/>
    <s v="PRD-009"/>
    <x v="2"/>
    <x v="2"/>
    <s v="David Kim"/>
    <x v="1"/>
    <n v="1"/>
    <n v="39.99"/>
    <n v="39.99"/>
    <n v="0.08"/>
    <n v="3.2"/>
    <n v="36.79"/>
    <n v="2.94"/>
    <n v="39.729999999999997"/>
    <x v="1"/>
  </r>
  <r>
    <s v="TXN-00827"/>
    <x v="708"/>
    <x v="4"/>
    <s v="C011"/>
    <s v="Keystone Ventures"/>
    <x v="3"/>
    <s v="Washington DC"/>
    <s v="PRD-013"/>
    <x v="4"/>
    <x v="2"/>
    <s v="Carol Davis"/>
    <x v="0"/>
    <n v="10"/>
    <n v="229.99"/>
    <n v="2299.9"/>
    <n v="0.05"/>
    <n v="115"/>
    <n v="2184.9"/>
    <n v="174.79"/>
    <n v="2359.69"/>
    <x v="1"/>
  </r>
  <r>
    <s v="TXN-00965"/>
    <x v="708"/>
    <x v="4"/>
    <s v="C002"/>
    <s v="Blue Ridge Corp"/>
    <x v="1"/>
    <s v="Atlanta"/>
    <s v="PRD-003"/>
    <x v="14"/>
    <x v="1"/>
    <s v="Carol Davis"/>
    <x v="2"/>
    <n v="23"/>
    <n v="49.99"/>
    <n v="1149.77"/>
    <n v="0.08"/>
    <n v="91.98"/>
    <n v="1057.79"/>
    <n v="84.62"/>
    <n v="1142.4100000000001"/>
    <x v="1"/>
  </r>
  <r>
    <s v="TXN-00813"/>
    <x v="709"/>
    <x v="4"/>
    <s v="C014"/>
    <s v="Nexus Trading"/>
    <x v="2"/>
    <s v="Denver"/>
    <s v="PRD-009"/>
    <x v="2"/>
    <x v="2"/>
    <s v="Alice Morgan"/>
    <x v="3"/>
    <n v="12"/>
    <n v="39.99"/>
    <n v="479.88"/>
    <n v="0.05"/>
    <n v="23.99"/>
    <n v="455.89"/>
    <n v="36.47"/>
    <n v="492.36"/>
    <x v="2"/>
  </r>
  <r>
    <s v="TXN-00851"/>
    <x v="709"/>
    <x v="4"/>
    <s v="C013"/>
    <s v="Maverick Systems"/>
    <x v="0"/>
    <s v="Minneapolis"/>
    <s v="PRD-014"/>
    <x v="10"/>
    <x v="1"/>
    <s v="Eva Patel"/>
    <x v="4"/>
    <n v="5"/>
    <n v="479.99"/>
    <n v="2399.9499999999998"/>
    <n v="0"/>
    <n v="0"/>
    <n v="2399.9499999999998"/>
    <n v="192"/>
    <n v="0"/>
    <x v="0"/>
  </r>
  <r>
    <s v="TXN-00926"/>
    <x v="710"/>
    <x v="4"/>
    <s v="C013"/>
    <s v="Maverick Systems"/>
    <x v="0"/>
    <s v="Minneapolis"/>
    <s v="PRD-012"/>
    <x v="6"/>
    <x v="0"/>
    <s v="Carol Davis"/>
    <x v="2"/>
    <n v="9"/>
    <n v="5.99"/>
    <n v="53.91"/>
    <n v="0"/>
    <n v="0"/>
    <n v="53.91"/>
    <n v="4.3099999999999996"/>
    <n v="58.22"/>
    <x v="1"/>
  </r>
  <r>
    <s v="TXN-00855"/>
    <x v="711"/>
    <x v="4"/>
    <s v="C009"/>
    <s v="Ironclad Partners"/>
    <x v="0"/>
    <s v="Detroit"/>
    <s v="PRD-004"/>
    <x v="8"/>
    <x v="2"/>
    <s v="Carol Davis"/>
    <x v="1"/>
    <n v="30"/>
    <n v="349.99"/>
    <n v="10499.7"/>
    <n v="0.16"/>
    <n v="1679.95"/>
    <n v="8819.75"/>
    <n v="705.58"/>
    <n v="9525.33"/>
    <x v="1"/>
  </r>
  <r>
    <s v="TXN-00967"/>
    <x v="712"/>
    <x v="4"/>
    <s v="C006"/>
    <s v="Foxfire Inc"/>
    <x v="1"/>
    <s v="Miami"/>
    <s v="PRD-004"/>
    <x v="8"/>
    <x v="2"/>
    <s v="David Kim"/>
    <x v="2"/>
    <n v="12"/>
    <n v="349.99"/>
    <n v="4199.88"/>
    <n v="0.05"/>
    <n v="209.99"/>
    <n v="3989.89"/>
    <n v="319.19"/>
    <n v="4309.08"/>
    <x v="1"/>
  </r>
  <r>
    <s v="TXN-00955"/>
    <x v="713"/>
    <x v="4"/>
    <s v="C001"/>
    <s v="Apex Solutions"/>
    <x v="0"/>
    <s v="New York"/>
    <s v="PRD-001"/>
    <x v="5"/>
    <x v="1"/>
    <s v="Eva Patel"/>
    <x v="4"/>
    <n v="10"/>
    <n v="1199.99"/>
    <n v="11999.9"/>
    <n v="0.05"/>
    <n v="600"/>
    <n v="11399.9"/>
    <n v="911.99"/>
    <n v="12311.89"/>
    <x v="1"/>
  </r>
  <r>
    <s v="TXN-00869"/>
    <x v="714"/>
    <x v="4"/>
    <s v="C005"/>
    <s v="Eagle Tech"/>
    <x v="0"/>
    <s v="Chicago"/>
    <s v="PRD-014"/>
    <x v="10"/>
    <x v="1"/>
    <s v="Alice Morgan"/>
    <x v="4"/>
    <n v="20"/>
    <n v="479.99"/>
    <n v="9599.7999999999993"/>
    <n v="0.08"/>
    <n v="767.98"/>
    <n v="8831.82"/>
    <n v="706.55"/>
    <n v="9538.3700000000008"/>
    <x v="1"/>
  </r>
  <r>
    <s v="TXN-00972"/>
    <x v="715"/>
    <x v="4"/>
    <s v="C012"/>
    <s v="Luminary Co"/>
    <x v="1"/>
    <s v="Dallas"/>
    <s v="PRD-008"/>
    <x v="12"/>
    <x v="1"/>
    <s v="Alice Morgan"/>
    <x v="0"/>
    <n v="7"/>
    <n v="399.99"/>
    <n v="2799.93"/>
    <n v="0"/>
    <n v="0"/>
    <n v="2799.93"/>
    <n v="223.99"/>
    <n v="3023.92"/>
    <x v="2"/>
  </r>
  <r>
    <s v="TXN-00812"/>
    <x v="716"/>
    <x v="4"/>
    <s v="C006"/>
    <s v="Foxfire Inc"/>
    <x v="1"/>
    <s v="Miami"/>
    <s v="PRD-006"/>
    <x v="0"/>
    <x v="0"/>
    <s v="Carol Davis"/>
    <x v="4"/>
    <n v="17"/>
    <n v="8.99"/>
    <n v="152.83000000000001"/>
    <n v="0.05"/>
    <n v="7.64"/>
    <n v="145.19"/>
    <n v="11.62"/>
    <n v="0"/>
    <x v="0"/>
  </r>
  <r>
    <s v="TXN-00974"/>
    <x v="717"/>
    <x v="4"/>
    <s v="C015"/>
    <s v="Orbit Industries"/>
    <x v="1"/>
    <s v="Houston"/>
    <s v="PRD-012"/>
    <x v="6"/>
    <x v="0"/>
    <s v="Eva Patel"/>
    <x v="0"/>
    <n v="9"/>
    <n v="5.99"/>
    <n v="53.91"/>
    <n v="0"/>
    <n v="0"/>
    <n v="53.91"/>
    <n v="4.3099999999999996"/>
    <n v="58.22"/>
    <x v="1"/>
  </r>
  <r>
    <s v="TXN-00838"/>
    <x v="718"/>
    <x v="4"/>
    <s v="C005"/>
    <s v="Eagle Tech"/>
    <x v="0"/>
    <s v="Chicago"/>
    <s v="PRD-002"/>
    <x v="9"/>
    <x v="1"/>
    <s v="Eva Patel"/>
    <x v="3"/>
    <n v="11"/>
    <n v="29.99"/>
    <n v="329.89"/>
    <n v="0.05"/>
    <n v="16.489999999999998"/>
    <n v="313.39999999999998"/>
    <n v="25.07"/>
    <n v="338.47"/>
    <x v="1"/>
  </r>
  <r>
    <s v="TXN-00853"/>
    <x v="719"/>
    <x v="4"/>
    <s v="C012"/>
    <s v="Luminary Co"/>
    <x v="1"/>
    <s v="Dallas"/>
    <s v="PRD-012"/>
    <x v="6"/>
    <x v="0"/>
    <s v="David Kim"/>
    <x v="2"/>
    <n v="8"/>
    <n v="5.99"/>
    <n v="47.92"/>
    <n v="0"/>
    <n v="0"/>
    <n v="47.92"/>
    <n v="3.83"/>
    <n v="51.75"/>
    <x v="1"/>
  </r>
  <r>
    <s v="TXN-00930"/>
    <x v="719"/>
    <x v="4"/>
    <s v="C003"/>
    <s v="Crestview Ltd"/>
    <x v="3"/>
    <s v="Boston"/>
    <s v="PRD-008"/>
    <x v="12"/>
    <x v="1"/>
    <s v="Eva Patel"/>
    <x v="0"/>
    <n v="11"/>
    <n v="399.99"/>
    <n v="4399.8900000000003"/>
    <n v="0.05"/>
    <n v="219.99"/>
    <n v="4179.8999999999996"/>
    <n v="334.39"/>
    <n v="4514.29"/>
    <x v="2"/>
  </r>
  <r>
    <s v="TXN-00963"/>
    <x v="720"/>
    <x v="4"/>
    <s v="C010"/>
    <s v="Jade Innovations"/>
    <x v="2"/>
    <s v="San Francisco"/>
    <s v="PRD-008"/>
    <x v="12"/>
    <x v="1"/>
    <s v="David Kim"/>
    <x v="2"/>
    <n v="20"/>
    <n v="399.99"/>
    <n v="7999.8"/>
    <n v="0.08"/>
    <n v="639.98"/>
    <n v="7359.82"/>
    <n v="588.79"/>
    <n v="7948.61"/>
    <x v="2"/>
  </r>
  <r>
    <s v="TXN-00917"/>
    <x v="721"/>
    <x v="4"/>
    <s v="C014"/>
    <s v="Nexus Trading"/>
    <x v="2"/>
    <s v="Denver"/>
    <s v="PRD-001"/>
    <x v="5"/>
    <x v="1"/>
    <s v="David Kim"/>
    <x v="2"/>
    <n v="11"/>
    <n v="1199.99"/>
    <n v="13199.89"/>
    <n v="0.05"/>
    <n v="659.99"/>
    <n v="12539.9"/>
    <n v="1003.19"/>
    <n v="0"/>
    <x v="0"/>
  </r>
  <r>
    <s v="TXN-00966"/>
    <x v="721"/>
    <x v="4"/>
    <s v="C001"/>
    <s v="Apex Solutions"/>
    <x v="0"/>
    <s v="New York"/>
    <s v="PRD-012"/>
    <x v="6"/>
    <x v="0"/>
    <s v="Bob Chen"/>
    <x v="3"/>
    <n v="1"/>
    <n v="5.99"/>
    <n v="5.99"/>
    <n v="0"/>
    <n v="0"/>
    <n v="5.99"/>
    <n v="0.48"/>
    <n v="6.47"/>
    <x v="1"/>
  </r>
  <r>
    <s v="TXN-00990"/>
    <x v="722"/>
    <x v="4"/>
    <s v="C009"/>
    <s v="Ironclad Partners"/>
    <x v="0"/>
    <s v="Detroit"/>
    <s v="PRD-011"/>
    <x v="7"/>
    <x v="1"/>
    <s v="David Kim"/>
    <x v="4"/>
    <n v="22"/>
    <n v="249.99"/>
    <n v="5499.78"/>
    <n v="0.08"/>
    <n v="439.98"/>
    <n v="5059.8"/>
    <n v="404.78"/>
    <n v="0"/>
    <x v="0"/>
  </r>
  <r>
    <s v="TXN-00845"/>
    <x v="723"/>
    <x v="4"/>
    <s v="C015"/>
    <s v="Orbit Industries"/>
    <x v="1"/>
    <s v="Houston"/>
    <s v="PRD-012"/>
    <x v="6"/>
    <x v="0"/>
    <s v="Alice Morgan"/>
    <x v="3"/>
    <n v="28"/>
    <n v="5.99"/>
    <n v="167.72"/>
    <n v="0.08"/>
    <n v="13.42"/>
    <n v="154.30000000000001"/>
    <n v="12.34"/>
    <n v="166.64"/>
    <x v="1"/>
  </r>
  <r>
    <s v="TXN-00816"/>
    <x v="724"/>
    <x v="4"/>
    <s v="C005"/>
    <s v="Eagle Tech"/>
    <x v="0"/>
    <s v="Chicago"/>
    <s v="PRD-012"/>
    <x v="6"/>
    <x v="0"/>
    <s v="Alice Morgan"/>
    <x v="0"/>
    <n v="17"/>
    <n v="5.99"/>
    <n v="101.83"/>
    <n v="0.05"/>
    <n v="5.09"/>
    <n v="96.74"/>
    <n v="7.74"/>
    <n v="104.48"/>
    <x v="1"/>
  </r>
  <r>
    <s v="TXN-00849"/>
    <x v="725"/>
    <x v="4"/>
    <s v="C014"/>
    <s v="Nexus Trading"/>
    <x v="2"/>
    <s v="Denver"/>
    <s v="PRD-012"/>
    <x v="6"/>
    <x v="0"/>
    <s v="Carol Davis"/>
    <x v="4"/>
    <n v="17"/>
    <n v="5.99"/>
    <n v="101.83"/>
    <n v="0.05"/>
    <n v="5.09"/>
    <n v="96.74"/>
    <n v="7.74"/>
    <n v="104.48"/>
    <x v="1"/>
  </r>
  <r>
    <s v="TXN-00918"/>
    <x v="725"/>
    <x v="4"/>
    <s v="C015"/>
    <s v="Orbit Industries"/>
    <x v="1"/>
    <s v="Houston"/>
    <s v="PRD-015"/>
    <x v="11"/>
    <x v="0"/>
    <s v="Eva Patel"/>
    <x v="2"/>
    <n v="6"/>
    <n v="79.989999999999995"/>
    <n v="479.94"/>
    <n v="0"/>
    <n v="0"/>
    <n v="479.94"/>
    <n v="38.4"/>
    <n v="518.34"/>
    <x v="1"/>
  </r>
  <r>
    <s v="TXN-00909"/>
    <x v="726"/>
    <x v="4"/>
    <s v="C012"/>
    <s v="Luminary Co"/>
    <x v="1"/>
    <s v="Dallas"/>
    <s v="PRD-011"/>
    <x v="7"/>
    <x v="1"/>
    <s v="Bob Chen"/>
    <x v="2"/>
    <n v="12"/>
    <n v="249.99"/>
    <n v="2999.88"/>
    <n v="0.05"/>
    <n v="149.99"/>
    <n v="2849.89"/>
    <n v="227.99"/>
    <n v="3077.88"/>
    <x v="1"/>
  </r>
  <r>
    <s v="TXN-00900"/>
    <x v="727"/>
    <x v="4"/>
    <s v="C011"/>
    <s v="Keystone Ventures"/>
    <x v="3"/>
    <s v="Washington DC"/>
    <s v="PRD-006"/>
    <x v="0"/>
    <x v="0"/>
    <s v="David Kim"/>
    <x v="1"/>
    <n v="7"/>
    <n v="8.99"/>
    <n v="62.93"/>
    <n v="0.08"/>
    <n v="5.03"/>
    <n v="57.9"/>
    <n v="4.63"/>
    <n v="0"/>
    <x v="0"/>
  </r>
  <r>
    <s v="TXN-00921"/>
    <x v="727"/>
    <x v="4"/>
    <s v="C014"/>
    <s v="Nexus Trading"/>
    <x v="2"/>
    <s v="Denver"/>
    <s v="PRD-007"/>
    <x v="13"/>
    <x v="1"/>
    <s v="Bob Chen"/>
    <x v="1"/>
    <n v="23"/>
    <n v="129.99"/>
    <n v="2989.77"/>
    <n v="0.16"/>
    <n v="478.36"/>
    <n v="2511.41"/>
    <n v="200.91"/>
    <n v="2712.32"/>
    <x v="1"/>
  </r>
  <r>
    <s v="TXN-00809"/>
    <x v="728"/>
    <x v="4"/>
    <s v="C013"/>
    <s v="Maverick Systems"/>
    <x v="0"/>
    <s v="Minneapolis"/>
    <s v="PRD-002"/>
    <x v="9"/>
    <x v="1"/>
    <s v="Carol Davis"/>
    <x v="0"/>
    <n v="6"/>
    <n v="29.99"/>
    <n v="179.94"/>
    <n v="0"/>
    <n v="0"/>
    <n v="179.94"/>
    <n v="14.4"/>
    <n v="194.34"/>
    <x v="1"/>
  </r>
  <r>
    <s v="TXN-00856"/>
    <x v="728"/>
    <x v="4"/>
    <s v="C001"/>
    <s v="Apex Solutions"/>
    <x v="0"/>
    <s v="New York"/>
    <s v="PRD-015"/>
    <x v="11"/>
    <x v="0"/>
    <s v="Alice Morgan"/>
    <x v="2"/>
    <n v="23"/>
    <n v="79.989999999999995"/>
    <n v="1839.77"/>
    <n v="0.08"/>
    <n v="147.18"/>
    <n v="1692.59"/>
    <n v="135.41"/>
    <n v="1828"/>
    <x v="1"/>
  </r>
  <r>
    <s v="TXN-00919"/>
    <x v="729"/>
    <x v="4"/>
    <s v="C007"/>
    <s v="Global Dynamics"/>
    <x v="3"/>
    <s v="Philadelphia"/>
    <s v="PRD-005"/>
    <x v="3"/>
    <x v="2"/>
    <s v="Bob Chen"/>
    <x v="0"/>
    <n v="2"/>
    <n v="599.99"/>
    <n v="1199.98"/>
    <n v="0"/>
    <n v="0"/>
    <n v="1199.98"/>
    <n v="96"/>
    <n v="1295.98"/>
    <x v="1"/>
  </r>
  <r>
    <s v="TXN-01001"/>
    <x v="729"/>
    <x v="4"/>
    <s v="C004"/>
    <s v="Delta Enterprises"/>
    <x v="2"/>
    <s v="Los Angeles"/>
    <s v="PRD-012"/>
    <x v="6"/>
    <x v="0"/>
    <s v="Eva Patel"/>
    <x v="1"/>
    <n v="7"/>
    <n v="5.99"/>
    <n v="41.93"/>
    <n v="0.08"/>
    <n v="3.35"/>
    <n v="38.58"/>
    <n v="3.09"/>
    <n v="41.67"/>
    <x v="1"/>
  </r>
  <r>
    <s v="TXN-00875"/>
    <x v="730"/>
    <x v="4"/>
    <s v="C008"/>
    <s v="Horizon Group"/>
    <x v="2"/>
    <s v="Seattle"/>
    <s v="PRD-003"/>
    <x v="14"/>
    <x v="1"/>
    <s v="Eva Patel"/>
    <x v="0"/>
    <n v="29"/>
    <n v="49.99"/>
    <n v="1449.71"/>
    <n v="0.08"/>
    <n v="115.98"/>
    <n v="1333.73"/>
    <n v="106.7"/>
    <n v="1440.43"/>
    <x v="1"/>
  </r>
  <r>
    <s v="TXN-00824"/>
    <x v="731"/>
    <x v="4"/>
    <s v="C006"/>
    <s v="Foxfire Inc"/>
    <x v="1"/>
    <s v="Miami"/>
    <s v="PRD-007"/>
    <x v="13"/>
    <x v="1"/>
    <s v="Alice Morgan"/>
    <x v="1"/>
    <n v="4"/>
    <n v="129.99"/>
    <n v="519.96"/>
    <n v="0.08"/>
    <n v="41.6"/>
    <n v="478.36"/>
    <n v="38.270000000000003"/>
    <n v="516.63"/>
    <x v="2"/>
  </r>
  <r>
    <s v="TXN-00952"/>
    <x v="731"/>
    <x v="4"/>
    <s v="C010"/>
    <s v="Jade Innovations"/>
    <x v="2"/>
    <s v="San Francisco"/>
    <s v="PRD-015"/>
    <x v="11"/>
    <x v="0"/>
    <s v="David Kim"/>
    <x v="0"/>
    <n v="21"/>
    <n v="79.989999999999995"/>
    <n v="1679.79"/>
    <n v="0.08"/>
    <n v="134.38"/>
    <n v="1545.41"/>
    <n v="123.63"/>
    <n v="1669.04"/>
    <x v="2"/>
  </r>
  <r>
    <s v="TXN-00810"/>
    <x v="732"/>
    <x v="4"/>
    <s v="C013"/>
    <s v="Maverick Systems"/>
    <x v="0"/>
    <s v="Minneapolis"/>
    <s v="PRD-002"/>
    <x v="9"/>
    <x v="1"/>
    <s v="Eva Patel"/>
    <x v="4"/>
    <n v="18"/>
    <n v="29.99"/>
    <n v="539.82000000000005"/>
    <n v="0.05"/>
    <n v="26.99"/>
    <n v="512.83000000000004"/>
    <n v="41.03"/>
    <n v="553.86"/>
    <x v="1"/>
  </r>
  <r>
    <s v="TXN-00885"/>
    <x v="732"/>
    <x v="4"/>
    <s v="C011"/>
    <s v="Keystone Ventures"/>
    <x v="3"/>
    <s v="Washington DC"/>
    <s v="PRD-007"/>
    <x v="13"/>
    <x v="1"/>
    <s v="Eva Patel"/>
    <x v="2"/>
    <n v="28"/>
    <n v="129.99"/>
    <n v="3639.72"/>
    <n v="0.08"/>
    <n v="291.18"/>
    <n v="3348.54"/>
    <n v="267.88"/>
    <n v="3616.42"/>
    <x v="1"/>
  </r>
  <r>
    <s v="TXN-00815"/>
    <x v="733"/>
    <x v="4"/>
    <s v="C006"/>
    <s v="Foxfire Inc"/>
    <x v="1"/>
    <s v="Miami"/>
    <s v="PRD-015"/>
    <x v="11"/>
    <x v="0"/>
    <s v="David Kim"/>
    <x v="3"/>
    <n v="9"/>
    <n v="79.989999999999995"/>
    <n v="719.91"/>
    <n v="0"/>
    <n v="0"/>
    <n v="719.91"/>
    <n v="57.59"/>
    <n v="777.5"/>
    <x v="1"/>
  </r>
  <r>
    <s v="TXN-00847"/>
    <x v="733"/>
    <x v="4"/>
    <s v="C015"/>
    <s v="Orbit Industries"/>
    <x v="1"/>
    <s v="Houston"/>
    <s v="PRD-004"/>
    <x v="8"/>
    <x v="2"/>
    <s v="Alice Morgan"/>
    <x v="0"/>
    <n v="18"/>
    <n v="349.99"/>
    <n v="6299.82"/>
    <n v="0.05"/>
    <n v="314.99"/>
    <n v="5984.83"/>
    <n v="478.79"/>
    <n v="6463.62"/>
    <x v="1"/>
  </r>
  <r>
    <s v="TXN-00949"/>
    <x v="733"/>
    <x v="4"/>
    <s v="C001"/>
    <s v="Apex Solutions"/>
    <x v="0"/>
    <s v="New York"/>
    <s v="PRD-001"/>
    <x v="5"/>
    <x v="1"/>
    <s v="Carol Davis"/>
    <x v="2"/>
    <n v="15"/>
    <n v="1199.99"/>
    <n v="17999.849999999999"/>
    <n v="0.05"/>
    <n v="899.99"/>
    <n v="17099.86"/>
    <n v="1367.99"/>
    <n v="18467.849999999999"/>
    <x v="1"/>
  </r>
  <r>
    <s v="TXN-00950"/>
    <x v="733"/>
    <x v="4"/>
    <s v="C005"/>
    <s v="Eagle Tech"/>
    <x v="0"/>
    <s v="Chicago"/>
    <s v="PRD-015"/>
    <x v="11"/>
    <x v="0"/>
    <s v="Eva Patel"/>
    <x v="1"/>
    <n v="23"/>
    <n v="79.989999999999995"/>
    <n v="1839.77"/>
    <n v="0.16"/>
    <n v="294.36"/>
    <n v="1545.41"/>
    <n v="123.63"/>
    <n v="1669.04"/>
    <x v="1"/>
  </r>
  <r>
    <s v="TXN-00916"/>
    <x v="734"/>
    <x v="4"/>
    <s v="C011"/>
    <s v="Keystone Ventures"/>
    <x v="3"/>
    <s v="Washington DC"/>
    <s v="PRD-011"/>
    <x v="7"/>
    <x v="1"/>
    <s v="David Kim"/>
    <x v="0"/>
    <n v="25"/>
    <n v="249.99"/>
    <n v="6249.75"/>
    <n v="0.08"/>
    <n v="499.98"/>
    <n v="5749.77"/>
    <n v="459.98"/>
    <n v="6209.75"/>
    <x v="1"/>
  </r>
  <r>
    <s v="TXN-00881"/>
    <x v="735"/>
    <x v="4"/>
    <s v="C014"/>
    <s v="Nexus Trading"/>
    <x v="2"/>
    <s v="Denver"/>
    <s v="PRD-015"/>
    <x v="11"/>
    <x v="0"/>
    <s v="Alice Morgan"/>
    <x v="2"/>
    <n v="29"/>
    <n v="79.989999999999995"/>
    <n v="2319.71"/>
    <n v="0.08"/>
    <n v="185.58"/>
    <n v="2134.13"/>
    <n v="170.73"/>
    <n v="0"/>
    <x v="0"/>
  </r>
  <r>
    <s v="TXN-00835"/>
    <x v="736"/>
    <x v="4"/>
    <s v="C010"/>
    <s v="Jade Innovations"/>
    <x v="2"/>
    <s v="San Francisco"/>
    <s v="PRD-013"/>
    <x v="4"/>
    <x v="2"/>
    <s v="Alice Morgan"/>
    <x v="0"/>
    <n v="21"/>
    <n v="229.99"/>
    <n v="4829.79"/>
    <n v="0.08"/>
    <n v="386.38"/>
    <n v="4443.41"/>
    <n v="355.47"/>
    <n v="4798.88"/>
    <x v="1"/>
  </r>
  <r>
    <s v="TXN-00830"/>
    <x v="737"/>
    <x v="4"/>
    <s v="C011"/>
    <s v="Keystone Ventures"/>
    <x v="3"/>
    <s v="Washington DC"/>
    <s v="PRD-005"/>
    <x v="3"/>
    <x v="2"/>
    <s v="Carol Davis"/>
    <x v="3"/>
    <n v="28"/>
    <n v="599.99"/>
    <n v="16799.72"/>
    <n v="0.08"/>
    <n v="1343.98"/>
    <n v="15455.74"/>
    <n v="1236.46"/>
    <n v="0"/>
    <x v="0"/>
  </r>
  <r>
    <s v="TXN-01002"/>
    <x v="738"/>
    <x v="4"/>
    <s v="C004"/>
    <s v="Delta Enterprises"/>
    <x v="2"/>
    <s v="Los Angeles"/>
    <s v="PRD-011"/>
    <x v="7"/>
    <x v="1"/>
    <s v="Eva Patel"/>
    <x v="4"/>
    <n v="24"/>
    <n v="249.99"/>
    <n v="5999.76"/>
    <n v="0.08"/>
    <n v="479.98"/>
    <n v="5519.78"/>
    <n v="441.58"/>
    <n v="0"/>
    <x v="0"/>
  </r>
  <r>
    <s v="TXN-00901"/>
    <x v="739"/>
    <x v="4"/>
    <s v="C012"/>
    <s v="Luminary Co"/>
    <x v="1"/>
    <s v="Dallas"/>
    <s v="PRD-001"/>
    <x v="5"/>
    <x v="1"/>
    <s v="Alice Morgan"/>
    <x v="3"/>
    <n v="10"/>
    <n v="1199.99"/>
    <n v="11999.9"/>
    <n v="0.05"/>
    <n v="600"/>
    <n v="11399.9"/>
    <n v="911.99"/>
    <n v="0"/>
    <x v="0"/>
  </r>
  <r>
    <s v="TXN-00933"/>
    <x v="739"/>
    <x v="4"/>
    <s v="C008"/>
    <s v="Horizon Group"/>
    <x v="2"/>
    <s v="Seattle"/>
    <s v="PRD-002"/>
    <x v="9"/>
    <x v="1"/>
    <s v="Carol Davis"/>
    <x v="2"/>
    <n v="12"/>
    <n v="29.99"/>
    <n v="359.88"/>
    <n v="0.05"/>
    <n v="17.989999999999998"/>
    <n v="341.89"/>
    <n v="27.35"/>
    <n v="369.24"/>
    <x v="1"/>
  </r>
  <r>
    <s v="TXN-00857"/>
    <x v="740"/>
    <x v="4"/>
    <s v="C014"/>
    <s v="Nexus Trading"/>
    <x v="2"/>
    <s v="Denver"/>
    <s v="PRD-011"/>
    <x v="7"/>
    <x v="1"/>
    <s v="Carol Davis"/>
    <x v="2"/>
    <n v="18"/>
    <n v="249.99"/>
    <n v="4499.82"/>
    <n v="0.05"/>
    <n v="224.99"/>
    <n v="4274.83"/>
    <n v="341.99"/>
    <n v="0"/>
    <x v="0"/>
  </r>
  <r>
    <s v="TXN-00905"/>
    <x v="741"/>
    <x v="4"/>
    <s v="C002"/>
    <s v="Blue Ridge Corp"/>
    <x v="1"/>
    <s v="Atlanta"/>
    <s v="PRD-006"/>
    <x v="0"/>
    <x v="0"/>
    <s v="Eva Patel"/>
    <x v="2"/>
    <n v="27"/>
    <n v="8.99"/>
    <n v="242.73"/>
    <n v="0.08"/>
    <n v="19.420000000000002"/>
    <n v="223.31"/>
    <n v="17.86"/>
    <n v="0"/>
    <x v="0"/>
  </r>
  <r>
    <s v="TXN-00888"/>
    <x v="742"/>
    <x v="4"/>
    <s v="C009"/>
    <s v="Ironclad Partners"/>
    <x v="0"/>
    <s v="Detroit"/>
    <s v="PRD-006"/>
    <x v="0"/>
    <x v="0"/>
    <s v="Eva Patel"/>
    <x v="1"/>
    <n v="10"/>
    <n v="8.99"/>
    <n v="89.9"/>
    <n v="0.13"/>
    <n v="11.69"/>
    <n v="78.209999999999994"/>
    <n v="6.26"/>
    <n v="84.47"/>
    <x v="1"/>
  </r>
  <r>
    <s v="TXN-00836"/>
    <x v="743"/>
    <x v="4"/>
    <s v="C005"/>
    <s v="Eagle Tech"/>
    <x v="0"/>
    <s v="Chicago"/>
    <s v="PRD-002"/>
    <x v="9"/>
    <x v="1"/>
    <s v="Alice Morgan"/>
    <x v="2"/>
    <n v="7"/>
    <n v="29.99"/>
    <n v="209.93"/>
    <n v="0"/>
    <n v="0"/>
    <n v="209.93"/>
    <n v="16.79"/>
    <n v="226.72"/>
    <x v="1"/>
  </r>
  <r>
    <s v="TXN-00805"/>
    <x v="744"/>
    <x v="4"/>
    <s v="C005"/>
    <s v="Eagle Tech"/>
    <x v="0"/>
    <s v="Chicago"/>
    <s v="PRD-007"/>
    <x v="13"/>
    <x v="1"/>
    <s v="Eva Patel"/>
    <x v="2"/>
    <n v="6"/>
    <n v="129.99"/>
    <n v="779.94"/>
    <n v="0"/>
    <n v="0"/>
    <n v="779.94"/>
    <n v="62.4"/>
    <n v="842.34"/>
    <x v="1"/>
  </r>
  <r>
    <s v="TXN-00848"/>
    <x v="745"/>
    <x v="4"/>
    <s v="C011"/>
    <s v="Keystone Ventures"/>
    <x v="3"/>
    <s v="Washington DC"/>
    <s v="PRD-008"/>
    <x v="12"/>
    <x v="1"/>
    <s v="Bob Chen"/>
    <x v="2"/>
    <n v="8"/>
    <n v="399.99"/>
    <n v="3199.92"/>
    <n v="0"/>
    <n v="0"/>
    <n v="3199.92"/>
    <n v="255.99"/>
    <n v="3455.91"/>
    <x v="1"/>
  </r>
  <r>
    <s v="TXN-00846"/>
    <x v="746"/>
    <x v="4"/>
    <s v="C001"/>
    <s v="Apex Solutions"/>
    <x v="0"/>
    <s v="New York"/>
    <s v="PRD-011"/>
    <x v="7"/>
    <x v="1"/>
    <s v="Eva Patel"/>
    <x v="0"/>
    <n v="25"/>
    <n v="249.99"/>
    <n v="6249.75"/>
    <n v="0.08"/>
    <n v="499.98"/>
    <n v="5749.77"/>
    <n v="459.98"/>
    <n v="6209.75"/>
    <x v="1"/>
  </r>
  <r>
    <s v="TXN-00864"/>
    <x v="746"/>
    <x v="4"/>
    <s v="C002"/>
    <s v="Blue Ridge Corp"/>
    <x v="1"/>
    <s v="Atlanta"/>
    <s v="PRD-012"/>
    <x v="6"/>
    <x v="0"/>
    <s v="David Kim"/>
    <x v="1"/>
    <n v="7"/>
    <n v="5.99"/>
    <n v="41.93"/>
    <n v="0.08"/>
    <n v="3.35"/>
    <n v="38.58"/>
    <n v="3.09"/>
    <n v="41.67"/>
    <x v="1"/>
  </r>
  <r>
    <s v="TXN-00895"/>
    <x v="747"/>
    <x v="4"/>
    <s v="C007"/>
    <s v="Global Dynamics"/>
    <x v="3"/>
    <s v="Philadelphia"/>
    <s v="PRD-015"/>
    <x v="11"/>
    <x v="0"/>
    <s v="Eva Patel"/>
    <x v="0"/>
    <n v="23"/>
    <n v="79.989999999999995"/>
    <n v="1839.77"/>
    <n v="0.08"/>
    <n v="147.18"/>
    <n v="1692.59"/>
    <n v="135.41"/>
    <n v="1828"/>
    <x v="1"/>
  </r>
  <r>
    <s v="TXN-00897"/>
    <x v="748"/>
    <x v="4"/>
    <s v="C011"/>
    <s v="Keystone Ventures"/>
    <x v="3"/>
    <s v="Washington DC"/>
    <s v="PRD-014"/>
    <x v="10"/>
    <x v="1"/>
    <s v="Eva Patel"/>
    <x v="2"/>
    <n v="2"/>
    <n v="479.99"/>
    <n v="959.98"/>
    <n v="0"/>
    <n v="0"/>
    <n v="959.98"/>
    <n v="76.8"/>
    <n v="1036.78"/>
    <x v="1"/>
  </r>
  <r>
    <s v="TXN-00860"/>
    <x v="749"/>
    <x v="4"/>
    <s v="C014"/>
    <s v="Nexus Trading"/>
    <x v="2"/>
    <s v="Denver"/>
    <s v="PRD-014"/>
    <x v="10"/>
    <x v="1"/>
    <s v="Carol Davis"/>
    <x v="1"/>
    <n v="29"/>
    <n v="479.99"/>
    <n v="13919.71"/>
    <n v="0.16"/>
    <n v="2227.15"/>
    <n v="11692.56"/>
    <n v="935.4"/>
    <n v="12627.96"/>
    <x v="1"/>
  </r>
  <r>
    <s v="TXN-00902"/>
    <x v="750"/>
    <x v="4"/>
    <s v="C010"/>
    <s v="Jade Innovations"/>
    <x v="2"/>
    <s v="San Francisco"/>
    <s v="PRD-015"/>
    <x v="11"/>
    <x v="0"/>
    <s v="Carol Davis"/>
    <x v="2"/>
    <n v="8"/>
    <n v="79.989999999999995"/>
    <n v="639.91999999999996"/>
    <n v="0"/>
    <n v="0"/>
    <n v="639.91999999999996"/>
    <n v="51.19"/>
    <n v="691.11"/>
    <x v="1"/>
  </r>
  <r>
    <s v="TXN-00924"/>
    <x v="751"/>
    <x v="4"/>
    <s v="C009"/>
    <s v="Ironclad Partners"/>
    <x v="0"/>
    <s v="Detroit"/>
    <s v="PRD-003"/>
    <x v="14"/>
    <x v="1"/>
    <s v="Carol Davis"/>
    <x v="4"/>
    <n v="16"/>
    <n v="49.99"/>
    <n v="799.84"/>
    <n v="0.05"/>
    <n v="39.99"/>
    <n v="759.85"/>
    <n v="60.79"/>
    <n v="820.64"/>
    <x v="1"/>
  </r>
  <r>
    <s v="TXN-00807"/>
    <x v="752"/>
    <x v="4"/>
    <s v="C003"/>
    <s v="Crestview Ltd"/>
    <x v="3"/>
    <s v="Boston"/>
    <s v="PRD-001"/>
    <x v="5"/>
    <x v="1"/>
    <s v="Carol Davis"/>
    <x v="0"/>
    <n v="25"/>
    <n v="1199.99"/>
    <n v="29999.75"/>
    <n v="0.08"/>
    <n v="2399.98"/>
    <n v="27599.77"/>
    <n v="2207.98"/>
    <n v="29807.75"/>
    <x v="1"/>
  </r>
  <r>
    <s v="TXN-00932"/>
    <x v="753"/>
    <x v="4"/>
    <s v="C003"/>
    <s v="Crestview Ltd"/>
    <x v="3"/>
    <s v="Boston"/>
    <s v="PRD-012"/>
    <x v="6"/>
    <x v="0"/>
    <s v="Alice Morgan"/>
    <x v="4"/>
    <n v="16"/>
    <n v="5.99"/>
    <n v="95.84"/>
    <n v="0.05"/>
    <n v="4.79"/>
    <n v="91.05"/>
    <n v="7.28"/>
    <n v="98.33"/>
    <x v="1"/>
  </r>
  <r>
    <s v="TXN-00951"/>
    <x v="754"/>
    <x v="4"/>
    <s v="C010"/>
    <s v="Jade Innovations"/>
    <x v="2"/>
    <s v="San Francisco"/>
    <s v="PRD-003"/>
    <x v="14"/>
    <x v="1"/>
    <s v="Eva Patel"/>
    <x v="1"/>
    <n v="24"/>
    <n v="49.99"/>
    <n v="1199.76"/>
    <n v="0.16"/>
    <n v="191.96"/>
    <n v="1007.8"/>
    <n v="80.62"/>
    <n v="1088.42"/>
    <x v="2"/>
  </r>
  <r>
    <s v="TXN-00962"/>
    <x v="755"/>
    <x v="4"/>
    <s v="C002"/>
    <s v="Blue Ridge Corp"/>
    <x v="1"/>
    <s v="Atlanta"/>
    <s v="PRD-014"/>
    <x v="10"/>
    <x v="1"/>
    <s v="Bob Chen"/>
    <x v="4"/>
    <n v="4"/>
    <n v="479.99"/>
    <n v="1919.96"/>
    <n v="0"/>
    <n v="0"/>
    <n v="1919.96"/>
    <n v="153.6"/>
    <n v="2073.56"/>
    <x v="1"/>
  </r>
  <r>
    <s v="TXN-00997"/>
    <x v="756"/>
    <x v="4"/>
    <s v="C015"/>
    <s v="Orbit Industries"/>
    <x v="1"/>
    <s v="Houston"/>
    <s v="PRD-015"/>
    <x v="11"/>
    <x v="0"/>
    <s v="Bob Chen"/>
    <x v="1"/>
    <n v="15"/>
    <n v="79.989999999999995"/>
    <n v="1199.8499999999999"/>
    <n v="0.13"/>
    <n v="155.97999999999999"/>
    <n v="1043.8699999999999"/>
    <n v="83.51"/>
    <n v="1127.3800000000001"/>
    <x v="1"/>
  </r>
  <r>
    <s v="TXN-00843"/>
    <x v="757"/>
    <x v="4"/>
    <s v="C005"/>
    <s v="Eagle Tech"/>
    <x v="0"/>
    <s v="Chicago"/>
    <s v="PRD-013"/>
    <x v="4"/>
    <x v="2"/>
    <s v="David Kim"/>
    <x v="0"/>
    <n v="6"/>
    <n v="229.99"/>
    <n v="1379.94"/>
    <n v="0"/>
    <n v="0"/>
    <n v="1379.94"/>
    <n v="110.4"/>
    <n v="1490.34"/>
    <x v="1"/>
  </r>
  <r>
    <s v="TXN-00980"/>
    <x v="757"/>
    <x v="4"/>
    <s v="C010"/>
    <s v="Jade Innovations"/>
    <x v="2"/>
    <s v="San Francisco"/>
    <s v="PRD-011"/>
    <x v="7"/>
    <x v="1"/>
    <s v="Carol Davis"/>
    <x v="3"/>
    <n v="12"/>
    <n v="249.99"/>
    <n v="2999.88"/>
    <n v="0.05"/>
    <n v="149.99"/>
    <n v="2849.89"/>
    <n v="227.99"/>
    <n v="3077.88"/>
    <x v="1"/>
  </r>
  <r>
    <s v="TXN-00935"/>
    <x v="758"/>
    <x v="4"/>
    <s v="C014"/>
    <s v="Nexus Trading"/>
    <x v="2"/>
    <s v="Denver"/>
    <s v="PRD-006"/>
    <x v="0"/>
    <x v="0"/>
    <s v="Eva Patel"/>
    <x v="4"/>
    <n v="19"/>
    <n v="8.99"/>
    <n v="170.81"/>
    <n v="0.05"/>
    <n v="8.5399999999999991"/>
    <n v="162.27000000000001"/>
    <n v="12.98"/>
    <n v="0"/>
    <x v="0"/>
  </r>
  <r>
    <s v="TXN-00940"/>
    <x v="759"/>
    <x v="4"/>
    <s v="C003"/>
    <s v="Crestview Ltd"/>
    <x v="3"/>
    <s v="Boston"/>
    <s v="PRD-002"/>
    <x v="9"/>
    <x v="1"/>
    <s v="Carol Davis"/>
    <x v="4"/>
    <n v="11"/>
    <n v="29.99"/>
    <n v="329.89"/>
    <n v="0.05"/>
    <n v="16.489999999999998"/>
    <n v="313.39999999999998"/>
    <n v="25.07"/>
    <n v="338.47"/>
    <x v="1"/>
  </r>
  <r>
    <s v="TXN-00883"/>
    <x v="760"/>
    <x v="4"/>
    <s v="C009"/>
    <s v="Ironclad Partners"/>
    <x v="0"/>
    <s v="Detroit"/>
    <s v="PRD-010"/>
    <x v="1"/>
    <x v="1"/>
    <s v="Alice Morgan"/>
    <x v="0"/>
    <n v="13"/>
    <n v="89.99"/>
    <n v="1169.8699999999999"/>
    <n v="0.05"/>
    <n v="58.49"/>
    <n v="1111.3800000000001"/>
    <n v="88.91"/>
    <n v="1200.29"/>
    <x v="1"/>
  </r>
  <r>
    <s v="TXN-00868"/>
    <x v="761"/>
    <x v="4"/>
    <s v="C007"/>
    <s v="Global Dynamics"/>
    <x v="3"/>
    <s v="Philadelphia"/>
    <s v="PRD-009"/>
    <x v="2"/>
    <x v="2"/>
    <s v="Eva Patel"/>
    <x v="0"/>
    <n v="1"/>
    <n v="39.99"/>
    <n v="39.99"/>
    <n v="0"/>
    <n v="0"/>
    <n v="39.99"/>
    <n v="3.2"/>
    <n v="43.19"/>
    <x v="2"/>
  </r>
  <r>
    <s v="TXN-00943"/>
    <x v="761"/>
    <x v="4"/>
    <s v="C003"/>
    <s v="Crestview Ltd"/>
    <x v="3"/>
    <s v="Boston"/>
    <s v="PRD-003"/>
    <x v="14"/>
    <x v="1"/>
    <s v="Alice Morgan"/>
    <x v="4"/>
    <n v="8"/>
    <n v="49.99"/>
    <n v="399.92"/>
    <n v="0"/>
    <n v="0"/>
    <n v="399.92"/>
    <n v="31.99"/>
    <n v="431.91"/>
    <x v="2"/>
  </r>
  <r>
    <s v="TXN-00975"/>
    <x v="762"/>
    <x v="4"/>
    <s v="C005"/>
    <s v="Eagle Tech"/>
    <x v="0"/>
    <s v="Chicago"/>
    <s v="PRD-011"/>
    <x v="7"/>
    <x v="1"/>
    <s v="Bob Chen"/>
    <x v="2"/>
    <n v="28"/>
    <n v="249.99"/>
    <n v="6999.72"/>
    <n v="0.08"/>
    <n v="559.98"/>
    <n v="6439.74"/>
    <n v="515.17999999999995"/>
    <n v="6954.92"/>
    <x v="1"/>
  </r>
  <r>
    <s v="TXN-00854"/>
    <x v="763"/>
    <x v="4"/>
    <s v="C002"/>
    <s v="Blue Ridge Corp"/>
    <x v="1"/>
    <s v="Atlanta"/>
    <s v="PRD-004"/>
    <x v="8"/>
    <x v="2"/>
    <s v="Carol Davis"/>
    <x v="2"/>
    <n v="2"/>
    <n v="349.99"/>
    <n v="699.98"/>
    <n v="0"/>
    <n v="0"/>
    <n v="699.98"/>
    <n v="56"/>
    <n v="755.98"/>
    <x v="1"/>
  </r>
  <r>
    <s v="TXN-00834"/>
    <x v="764"/>
    <x v="4"/>
    <s v="C014"/>
    <s v="Nexus Trading"/>
    <x v="2"/>
    <s v="Denver"/>
    <s v="PRD-010"/>
    <x v="1"/>
    <x v="1"/>
    <s v="Carol Davis"/>
    <x v="4"/>
    <n v="6"/>
    <n v="89.99"/>
    <n v="539.94000000000005"/>
    <n v="0"/>
    <n v="0"/>
    <n v="539.94000000000005"/>
    <n v="43.2"/>
    <n v="583.14"/>
    <x v="1"/>
  </r>
  <r>
    <s v="TXN-00936"/>
    <x v="765"/>
    <x v="4"/>
    <s v="C009"/>
    <s v="Ironclad Partners"/>
    <x v="0"/>
    <s v="Detroit"/>
    <s v="PRD-011"/>
    <x v="7"/>
    <x v="1"/>
    <s v="Bob Chen"/>
    <x v="2"/>
    <n v="11"/>
    <n v="249.99"/>
    <n v="2749.89"/>
    <n v="0.05"/>
    <n v="137.49"/>
    <n v="2612.4"/>
    <n v="208.99"/>
    <n v="2821.39"/>
    <x v="1"/>
  </r>
  <r>
    <s v="TXN-00803"/>
    <x v="766"/>
    <x v="4"/>
    <s v="C012"/>
    <s v="Luminary Co"/>
    <x v="1"/>
    <s v="Dallas"/>
    <s v="PRD-013"/>
    <x v="4"/>
    <x v="2"/>
    <s v="Bob Chen"/>
    <x v="2"/>
    <n v="6"/>
    <n v="229.99"/>
    <n v="1379.94"/>
    <n v="0"/>
    <n v="0"/>
    <n v="1379.94"/>
    <n v="110.4"/>
    <n v="1490.34"/>
    <x v="1"/>
  </r>
  <r>
    <s v="TXN-00814"/>
    <x v="766"/>
    <x v="4"/>
    <s v="C015"/>
    <s v="Orbit Industries"/>
    <x v="1"/>
    <s v="Houston"/>
    <s v="PRD-004"/>
    <x v="8"/>
    <x v="2"/>
    <s v="Eva Patel"/>
    <x v="0"/>
    <n v="2"/>
    <n v="349.99"/>
    <n v="699.98"/>
    <n v="0"/>
    <n v="0"/>
    <n v="699.98"/>
    <n v="56"/>
    <n v="755.98"/>
    <x v="1"/>
  </r>
  <r>
    <s v="TXN-00960"/>
    <x v="767"/>
    <x v="4"/>
    <s v="C011"/>
    <s v="Keystone Ventures"/>
    <x v="3"/>
    <s v="Washington DC"/>
    <s v="PRD-007"/>
    <x v="13"/>
    <x v="1"/>
    <s v="Bob Chen"/>
    <x v="0"/>
    <n v="26"/>
    <n v="129.99"/>
    <n v="3379.74"/>
    <n v="0.08"/>
    <n v="270.38"/>
    <n v="3109.36"/>
    <n v="248.75"/>
    <n v="0"/>
    <x v="0"/>
  </r>
  <r>
    <s v="TXN-00879"/>
    <x v="768"/>
    <x v="4"/>
    <s v="C013"/>
    <s v="Maverick Systems"/>
    <x v="0"/>
    <s v="Minneapolis"/>
    <s v="PRD-004"/>
    <x v="8"/>
    <x v="2"/>
    <s v="David Kim"/>
    <x v="1"/>
    <n v="19"/>
    <n v="349.99"/>
    <n v="6649.81"/>
    <n v="0.13"/>
    <n v="864.48"/>
    <n v="5785.33"/>
    <n v="462.83"/>
    <n v="6248.16"/>
    <x v="1"/>
  </r>
  <r>
    <s v="TXN-00984"/>
    <x v="768"/>
    <x v="4"/>
    <s v="C012"/>
    <s v="Luminary Co"/>
    <x v="1"/>
    <s v="Dallas"/>
    <s v="PRD-008"/>
    <x v="12"/>
    <x v="1"/>
    <s v="David Kim"/>
    <x v="0"/>
    <n v="18"/>
    <n v="399.99"/>
    <n v="7199.82"/>
    <n v="0.05"/>
    <n v="359.99"/>
    <n v="6839.83"/>
    <n v="547.19000000000005"/>
    <n v="7387.02"/>
    <x v="1"/>
  </r>
  <r>
    <s v="TXN-00891"/>
    <x v="769"/>
    <x v="4"/>
    <s v="C006"/>
    <s v="Foxfire Inc"/>
    <x v="1"/>
    <s v="Miami"/>
    <s v="PRD-013"/>
    <x v="4"/>
    <x v="2"/>
    <s v="Eva Patel"/>
    <x v="0"/>
    <n v="22"/>
    <n v="229.99"/>
    <n v="5059.78"/>
    <n v="0.08"/>
    <n v="404.78"/>
    <n v="4655"/>
    <n v="372.4"/>
    <n v="5027.3999999999996"/>
    <x v="2"/>
  </r>
  <r>
    <s v="TXN-00998"/>
    <x v="770"/>
    <x v="4"/>
    <s v="C006"/>
    <s v="Foxfire Inc"/>
    <x v="1"/>
    <s v="Miami"/>
    <s v="PRD-001"/>
    <x v="5"/>
    <x v="1"/>
    <s v="Eva Patel"/>
    <x v="1"/>
    <n v="26"/>
    <n v="1199.99"/>
    <n v="31199.74"/>
    <n v="0.16"/>
    <n v="4991.96"/>
    <n v="26207.78"/>
    <n v="2096.62"/>
    <n v="28304.400000000001"/>
    <x v="1"/>
  </r>
  <r>
    <s v="TXN-00801"/>
    <x v="771"/>
    <x v="4"/>
    <s v="C010"/>
    <s v="Jade Innovations"/>
    <x v="2"/>
    <s v="San Francisco"/>
    <s v="PRD-004"/>
    <x v="8"/>
    <x v="2"/>
    <s v="David Kim"/>
    <x v="4"/>
    <n v="23"/>
    <n v="349.99"/>
    <n v="8049.77"/>
    <n v="0.08"/>
    <n v="643.98"/>
    <n v="7405.79"/>
    <n v="592.46"/>
    <n v="7998.25"/>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D25854-A7BE-4A55-94E2-65CA3CD20F7D}" name="PivotTable3"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D3:D4" firstHeaderRow="1" firstDataRow="1" firstDataCol="0"/>
  <pivotFields count="25">
    <pivotField showAll="0"/>
    <pivotField numFmtId="14" showAll="0">
      <items count="7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t="default"/>
      </items>
    </pivotField>
    <pivotField showAll="0"/>
    <pivotField showAll="0"/>
    <pivotField showAll="0"/>
    <pivotField showAll="0">
      <items count="5">
        <item x="3"/>
        <item x="0"/>
        <item x="1"/>
        <item x="2"/>
        <item t="default"/>
      </items>
    </pivotField>
    <pivotField showAll="0"/>
    <pivotField showAll="0"/>
    <pivotField showAll="0"/>
    <pivotField showAll="0">
      <items count="4">
        <item x="1"/>
        <item x="2"/>
        <item x="0"/>
        <item t="default"/>
      </items>
    </pivotField>
    <pivotField showAll="0"/>
    <pivotField showAll="0">
      <items count="6">
        <item x="2"/>
        <item x="3"/>
        <item x="1"/>
        <item x="0"/>
        <item x="4"/>
        <item t="default"/>
      </items>
    </pivotField>
    <pivotField showAll="0"/>
    <pivotField showAll="0"/>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dragToRow="0" dragToCol="0" dragToPage="0" showAll="0" defaultSubtotal="0"/>
  </pivotFields>
  <rowItems count="1">
    <i/>
  </rowItems>
  <colItems count="1">
    <i/>
  </colItems>
  <dataFields count="1">
    <dataField name="Sum of Total ($)"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14F544F-5750-4908-BA45-230A75694DC5}" name="PivotTable9"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9">
  <location ref="V3:W9" firstHeaderRow="1" firstDataRow="1" firstDataCol="1"/>
  <pivotFields count="25">
    <pivotField showAll="0"/>
    <pivotField numFmtId="14" showAll="0">
      <items count="7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t="default"/>
      </items>
    </pivotField>
    <pivotField axis="axisRow" showAll="0">
      <items count="6">
        <item x="0"/>
        <item x="1"/>
        <item x="2"/>
        <item x="3"/>
        <item x="4"/>
        <item t="default"/>
      </items>
    </pivotField>
    <pivotField showAll="0"/>
    <pivotField showAll="0"/>
    <pivotField showAll="0">
      <items count="5">
        <item x="3"/>
        <item x="0"/>
        <item x="1"/>
        <item x="2"/>
        <item t="default"/>
      </items>
    </pivotField>
    <pivotField showAll="0"/>
    <pivotField showAll="0"/>
    <pivotField showAll="0">
      <items count="16">
        <item x="2"/>
        <item x="4"/>
        <item x="7"/>
        <item x="5"/>
        <item x="13"/>
        <item x="12"/>
        <item x="0"/>
        <item x="8"/>
        <item x="6"/>
        <item x="3"/>
        <item x="10"/>
        <item x="14"/>
        <item x="1"/>
        <item x="11"/>
        <item x="9"/>
        <item t="default"/>
      </items>
    </pivotField>
    <pivotField showAll="0">
      <items count="4">
        <item x="1"/>
        <item x="2"/>
        <item x="0"/>
        <item t="default"/>
      </items>
    </pivotField>
    <pivotField showAll="0"/>
    <pivotField showAll="0">
      <items count="6">
        <item x="2"/>
        <item x="3"/>
        <item x="1"/>
        <item x="0"/>
        <item x="4"/>
        <item t="default"/>
      </items>
    </pivotField>
    <pivotField showAll="0"/>
    <pivotField showAll="0"/>
    <pivotField showAll="0"/>
    <pivotField showAll="0"/>
    <pivotField showAll="0"/>
    <pivotField showAll="0"/>
    <pivotField showAll="0"/>
    <pivotField dataField="1" showAll="0"/>
    <pivotField showAll="0">
      <items count="4">
        <item x="1"/>
        <item x="2"/>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dragToRow="0" dragToCol="0" dragToPage="0" showAll="0" defaultSubtotal="0"/>
  </pivotFields>
  <rowFields count="1">
    <field x="2"/>
  </rowFields>
  <rowItems count="6">
    <i>
      <x/>
    </i>
    <i>
      <x v="1"/>
    </i>
    <i>
      <x v="2"/>
    </i>
    <i>
      <x v="3"/>
    </i>
    <i>
      <x v="4"/>
    </i>
    <i t="grand">
      <x/>
    </i>
  </rowItems>
  <colItems count="1">
    <i/>
  </colItems>
  <dataFields count="1">
    <dataField name="Sum of Total ($)" fld="19" baseField="0" baseItem="0"/>
  </dataFields>
  <chartFormats count="4">
    <chartFormat chart="12"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37DE099-EEA2-45D7-A69A-9402041AAE4E}" name="PivotTable8"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S3:T19" firstHeaderRow="1" firstDataRow="1" firstDataCol="1"/>
  <pivotFields count="25">
    <pivotField showAll="0"/>
    <pivotField numFmtId="14" showAll="0">
      <items count="7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t="default"/>
      </items>
    </pivotField>
    <pivotField showAll="0"/>
    <pivotField showAll="0"/>
    <pivotField showAll="0"/>
    <pivotField showAll="0">
      <items count="5">
        <item x="3"/>
        <item x="0"/>
        <item x="1"/>
        <item x="2"/>
        <item t="default"/>
      </items>
    </pivotField>
    <pivotField showAll="0"/>
    <pivotField showAll="0"/>
    <pivotField axis="axisRow" showAll="0">
      <items count="16">
        <item x="2"/>
        <item x="4"/>
        <item x="7"/>
        <item x="5"/>
        <item x="13"/>
        <item x="12"/>
        <item x="0"/>
        <item x="8"/>
        <item x="6"/>
        <item x="3"/>
        <item x="10"/>
        <item x="14"/>
        <item x="1"/>
        <item x="11"/>
        <item x="9"/>
        <item t="default"/>
      </items>
    </pivotField>
    <pivotField showAll="0">
      <items count="4">
        <item x="1"/>
        <item x="2"/>
        <item x="0"/>
        <item t="default"/>
      </items>
    </pivotField>
    <pivotField showAll="0"/>
    <pivotField showAll="0">
      <items count="6">
        <item x="2"/>
        <item x="3"/>
        <item x="1"/>
        <item x="0"/>
        <item x="4"/>
        <item t="default"/>
      </items>
    </pivotField>
    <pivotField showAll="0"/>
    <pivotField showAll="0"/>
    <pivotField showAll="0"/>
    <pivotField showAll="0"/>
    <pivotField showAll="0"/>
    <pivotField showAll="0"/>
    <pivotField showAll="0"/>
    <pivotField dataField="1" showAll="0"/>
    <pivotField showAll="0">
      <items count="4">
        <item x="1"/>
        <item x="2"/>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dragToRow="0" dragToCol="0" dragToPage="0" showAll="0" defaultSubtotal="0"/>
  </pivotFields>
  <rowFields count="1">
    <field x="8"/>
  </rowFields>
  <rowItems count="16">
    <i>
      <x/>
    </i>
    <i>
      <x v="1"/>
    </i>
    <i>
      <x v="2"/>
    </i>
    <i>
      <x v="3"/>
    </i>
    <i>
      <x v="4"/>
    </i>
    <i>
      <x v="5"/>
    </i>
    <i>
      <x v="6"/>
    </i>
    <i>
      <x v="7"/>
    </i>
    <i>
      <x v="8"/>
    </i>
    <i>
      <x v="9"/>
    </i>
    <i>
      <x v="10"/>
    </i>
    <i>
      <x v="11"/>
    </i>
    <i>
      <x v="12"/>
    </i>
    <i>
      <x v="13"/>
    </i>
    <i>
      <x v="14"/>
    </i>
    <i t="grand">
      <x/>
    </i>
  </rowItems>
  <colItems count="1">
    <i/>
  </colItems>
  <dataFields count="1">
    <dataField name="Sum of Total ($)" fld="19" baseField="0" baseItem="0"/>
  </dataFields>
  <chartFormats count="1">
    <chartFormat chart="1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571E690-64FA-4C22-994F-F28F1493716F}" name="PivotTable10"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location ref="N11:P28" firstHeaderRow="1" firstDataRow="1" firstDataCol="0"/>
  <pivotFields count="25">
    <pivotField showAll="0"/>
    <pivotField numFmtId="14" showAll="0">
      <items count="7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t="default"/>
      </items>
    </pivotField>
    <pivotField showAll="0"/>
    <pivotField showAll="0"/>
    <pivotField showAll="0"/>
    <pivotField showAll="0">
      <items count="5">
        <item x="3"/>
        <item x="0"/>
        <item x="1"/>
        <item x="2"/>
        <item t="default"/>
      </items>
    </pivotField>
    <pivotField showAll="0"/>
    <pivotField showAll="0"/>
    <pivotField showAll="0"/>
    <pivotField showAll="0">
      <items count="4">
        <item x="1"/>
        <item x="2"/>
        <item x="0"/>
        <item t="default"/>
      </items>
    </pivotField>
    <pivotField showAll="0"/>
    <pivotField showAll="0">
      <items count="6">
        <item x="2"/>
        <item x="3"/>
        <item x="1"/>
        <item x="0"/>
        <item x="4"/>
        <item t="default"/>
      </items>
    </pivotField>
    <pivotField showAll="0"/>
    <pivotField showAll="0"/>
    <pivotField showAll="0"/>
    <pivotField showAll="0"/>
    <pivotField showAll="0"/>
    <pivotField showAll="0"/>
    <pivotField showAll="0"/>
    <pivotField showAll="0"/>
    <pivotField showAll="0">
      <items count="4">
        <item x="1"/>
        <item x="2"/>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dragToRow="0" dragToCol="0" dragToPage="0" showAll="0" defaultSubtota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D3E0DB4-F94F-497F-AFE3-4DBA144FD280}" name="PivotTable1"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4">
  <location ref="AB3:AC16" firstHeaderRow="1" firstDataRow="1" firstDataCol="1" rowPageCount="1" colPageCount="1"/>
  <pivotFields count="25">
    <pivotField showAll="0"/>
    <pivotField axis="axisPage" numFmtId="14" multipleItemSelectionAllowed="1" showAll="0">
      <items count="7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t="default"/>
      </items>
    </pivotField>
    <pivotField showAll="0">
      <items count="6">
        <item x="0"/>
        <item x="1"/>
        <item x="2"/>
        <item x="3"/>
        <item x="4"/>
        <item t="default"/>
      </items>
    </pivotField>
    <pivotField showAll="0"/>
    <pivotField showAll="0"/>
    <pivotField showAll="0">
      <items count="5">
        <item x="3"/>
        <item x="0"/>
        <item x="1"/>
        <item x="2"/>
        <item t="default"/>
      </items>
    </pivotField>
    <pivotField showAll="0"/>
    <pivotField showAll="0"/>
    <pivotField showAll="0">
      <items count="16">
        <item x="2"/>
        <item x="4"/>
        <item x="7"/>
        <item x="5"/>
        <item x="13"/>
        <item x="12"/>
        <item x="0"/>
        <item x="8"/>
        <item x="6"/>
        <item x="3"/>
        <item x="10"/>
        <item x="14"/>
        <item x="1"/>
        <item x="11"/>
        <item x="9"/>
        <item t="default"/>
      </items>
    </pivotField>
    <pivotField showAll="0">
      <items count="4">
        <item x="1"/>
        <item x="2"/>
        <item x="0"/>
        <item t="default"/>
      </items>
    </pivotField>
    <pivotField showAll="0"/>
    <pivotField showAll="0">
      <items count="6">
        <item x="2"/>
        <item x="3"/>
        <item x="1"/>
        <item x="0"/>
        <item x="4"/>
        <item t="default"/>
      </items>
    </pivotField>
    <pivotField showAll="0"/>
    <pivotField showAll="0"/>
    <pivotField showAll="0"/>
    <pivotField showAll="0"/>
    <pivotField showAll="0"/>
    <pivotField showAll="0"/>
    <pivotField showAll="0"/>
    <pivotField dataField="1" showAll="0"/>
    <pivotField showAll="0">
      <items count="4">
        <item x="1"/>
        <item x="2"/>
        <item x="0"/>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21"/>
  </rowFields>
  <rowItems count="13">
    <i>
      <x v="1"/>
    </i>
    <i>
      <x v="2"/>
    </i>
    <i>
      <x v="3"/>
    </i>
    <i>
      <x v="4"/>
    </i>
    <i>
      <x v="5"/>
    </i>
    <i>
      <x v="6"/>
    </i>
    <i>
      <x v="7"/>
    </i>
    <i>
      <x v="8"/>
    </i>
    <i>
      <x v="9"/>
    </i>
    <i>
      <x v="10"/>
    </i>
    <i>
      <x v="11"/>
    </i>
    <i>
      <x v="12"/>
    </i>
    <i t="grand">
      <x/>
    </i>
  </rowItems>
  <colItems count="1">
    <i/>
  </colItems>
  <pageFields count="1">
    <pageField fld="1" hier="-1"/>
  </pageFields>
  <dataFields count="1">
    <dataField name="Sum of Total ($)" fld="19" baseField="21" baseItem="4"/>
  </dataFields>
  <chartFormats count="7">
    <chartFormat chart="12"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0782F6F-6543-42DC-930C-5A28D45853E6}" name="PivotTable2"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25">
    <pivotField dataField="1" showAll="0"/>
    <pivotField numFmtId="14" showAll="0">
      <items count="7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t="default"/>
      </items>
    </pivotField>
    <pivotField showAll="0"/>
    <pivotField showAll="0"/>
    <pivotField showAll="0"/>
    <pivotField showAll="0">
      <items count="5">
        <item x="3"/>
        <item x="0"/>
        <item x="1"/>
        <item x="2"/>
        <item t="default"/>
      </items>
    </pivotField>
    <pivotField showAll="0"/>
    <pivotField showAll="0"/>
    <pivotField showAll="0"/>
    <pivotField showAll="0">
      <items count="4">
        <item x="1"/>
        <item x="2"/>
        <item x="0"/>
        <item t="default"/>
      </items>
    </pivotField>
    <pivotField showAll="0"/>
    <pivotField showAll="0">
      <items count="6">
        <item x="2"/>
        <item x="3"/>
        <item x="1"/>
        <item x="0"/>
        <item x="4"/>
        <item t="default"/>
      </items>
    </pivotField>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dragToRow="0" dragToCol="0" dragToPage="0" showAll="0" defaultSubtotal="0"/>
  </pivotFields>
  <rowItems count="1">
    <i/>
  </rowItems>
  <colItems count="1">
    <i/>
  </colItems>
  <dataFields count="1">
    <dataField name="Count of Transaction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93B6024-1E42-451D-8765-A7B024165D81}" name="PivotTable4"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G3:H7" firstHeaderRow="1" firstDataRow="1" firstDataCol="1"/>
  <pivotFields count="25">
    <pivotField showAll="0"/>
    <pivotField numFmtId="14" showAll="0">
      <items count="7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t="default"/>
      </items>
    </pivotField>
    <pivotField showAll="0"/>
    <pivotField showAll="0"/>
    <pivotField showAll="0"/>
    <pivotField showAll="0">
      <items count="5">
        <item x="3"/>
        <item x="0"/>
        <item x="1"/>
        <item x="2"/>
        <item t="default"/>
      </items>
    </pivotField>
    <pivotField showAll="0"/>
    <pivotField showAll="0"/>
    <pivotField showAll="0"/>
    <pivotField axis="axisRow" showAll="0">
      <items count="4">
        <item x="1"/>
        <item x="2"/>
        <item x="0"/>
        <item t="default"/>
      </items>
    </pivotField>
    <pivotField showAll="0"/>
    <pivotField showAll="0">
      <items count="6">
        <item x="2"/>
        <item x="3"/>
        <item x="1"/>
        <item x="0"/>
        <item x="4"/>
        <item t="default"/>
      </items>
    </pivotField>
    <pivotField showAll="0"/>
    <pivotField showAll="0"/>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dragToRow="0" dragToCol="0" dragToPage="0" showAll="0" defaultSubtotal="0"/>
  </pivotFields>
  <rowFields count="1">
    <field x="9"/>
  </rowFields>
  <rowItems count="4">
    <i>
      <x/>
    </i>
    <i>
      <x v="1"/>
    </i>
    <i>
      <x v="2"/>
    </i>
    <i t="grand">
      <x/>
    </i>
  </rowItems>
  <colItems count="1">
    <i/>
  </colItems>
  <dataFields count="1">
    <dataField name="Sum of Total ($)" fld="19"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792BF1B-DAE9-4455-8E18-E92F8CD87A3C}" name="PivotTable7"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location ref="P6:Q10" firstHeaderRow="1" firstDataRow="1" firstDataCol="1"/>
  <pivotFields count="25">
    <pivotField dataField="1" showAll="0"/>
    <pivotField numFmtId="14" showAll="0">
      <items count="7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t="default"/>
      </items>
    </pivotField>
    <pivotField showAll="0"/>
    <pivotField showAll="0"/>
    <pivotField showAll="0"/>
    <pivotField showAll="0">
      <items count="5">
        <item x="3"/>
        <item x="0"/>
        <item x="1"/>
        <item x="2"/>
        <item t="default"/>
      </items>
    </pivotField>
    <pivotField showAll="0"/>
    <pivotField showAll="0"/>
    <pivotField showAll="0"/>
    <pivotField showAll="0">
      <items count="4">
        <item x="1"/>
        <item x="2"/>
        <item x="0"/>
        <item t="default"/>
      </items>
    </pivotField>
    <pivotField showAll="0"/>
    <pivotField showAll="0">
      <items count="6">
        <item x="2"/>
        <item x="3"/>
        <item x="1"/>
        <item x="0"/>
        <item x="4"/>
        <item t="default"/>
      </items>
    </pivotField>
    <pivotField showAll="0"/>
    <pivotField showAll="0"/>
    <pivotField showAll="0"/>
    <pivotField showAll="0"/>
    <pivotField showAll="0"/>
    <pivotField showAll="0"/>
    <pivotField showAll="0"/>
    <pivotField showAll="0"/>
    <pivotField axis="axisRow" showAll="0">
      <items count="4">
        <item x="1"/>
        <item x="2"/>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dragToRow="0" dragToCol="0" dragToPage="0" showAll="0" defaultSubtotal="0"/>
  </pivotFields>
  <rowFields count="1">
    <field x="20"/>
  </rowFields>
  <rowItems count="4">
    <i>
      <x/>
    </i>
    <i>
      <x v="1"/>
    </i>
    <i>
      <x v="2"/>
    </i>
    <i t="grand">
      <x/>
    </i>
  </rowItems>
  <colItems count="1">
    <i/>
  </colItems>
  <dataFields count="1">
    <dataField name="Count of Transaction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E3B69F4-BF69-4382-991B-8A3B3177D5A2}" name="PivotTable6"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location ref="P3:P4" firstHeaderRow="1" firstDataRow="1" firstDataCol="0"/>
  <pivotFields count="25">
    <pivotField showAll="0"/>
    <pivotField numFmtId="14" showAll="0">
      <items count="7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t="default"/>
      </items>
    </pivotField>
    <pivotField showAll="0"/>
    <pivotField showAll="0"/>
    <pivotField showAll="0"/>
    <pivotField showAll="0">
      <items count="5">
        <item x="3"/>
        <item x="0"/>
        <item x="1"/>
        <item x="2"/>
        <item t="default"/>
      </items>
    </pivotField>
    <pivotField showAll="0"/>
    <pivotField showAll="0"/>
    <pivotField showAll="0"/>
    <pivotField showAll="0">
      <items count="4">
        <item x="1"/>
        <item x="2"/>
        <item x="0"/>
        <item t="default"/>
      </items>
    </pivotField>
    <pivotField showAll="0"/>
    <pivotField showAll="0">
      <items count="6">
        <item x="2"/>
        <item x="3"/>
        <item x="1"/>
        <item x="0"/>
        <item x="4"/>
        <item t="default"/>
      </items>
    </pivotField>
    <pivotField dataField="1" showAll="0"/>
    <pivotField showAll="0"/>
    <pivotField showAll="0"/>
    <pivotField showAll="0"/>
    <pivotField showAll="0"/>
    <pivotField showAll="0"/>
    <pivotField showAll="0"/>
    <pivotField showAll="0"/>
    <pivotField showAll="0">
      <items count="4">
        <item x="1"/>
        <item x="2"/>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dragToRow="0" dragToCol="0" dragToPage="0" showAll="0" defaultSubtotal="0"/>
  </pivotFields>
  <rowItems count="1">
    <i/>
  </rowItems>
  <colItems count="1">
    <i/>
  </colItems>
  <dataFields count="1">
    <dataField name="Sum of Qty"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5648937-C0EA-434A-81F0-CD7EB878747B}" name="PivotTable5"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location ref="J3:K7" firstHeaderRow="1" firstDataRow="1" firstDataCol="1"/>
  <pivotFields count="25">
    <pivotField dataField="1" showAll="0"/>
    <pivotField numFmtId="14" showAll="0">
      <items count="7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t="default"/>
      </items>
    </pivotField>
    <pivotField showAll="0"/>
    <pivotField showAll="0"/>
    <pivotField showAll="0"/>
    <pivotField showAll="0">
      <items count="5">
        <item x="3"/>
        <item x="0"/>
        <item x="1"/>
        <item x="2"/>
        <item t="default"/>
      </items>
    </pivotField>
    <pivotField showAll="0"/>
    <pivotField showAll="0"/>
    <pivotField showAll="0"/>
    <pivotField showAll="0">
      <items count="4">
        <item x="1"/>
        <item x="2"/>
        <item x="0"/>
        <item t="default"/>
      </items>
    </pivotField>
    <pivotField showAll="0"/>
    <pivotField showAll="0">
      <items count="6">
        <item x="2"/>
        <item x="3"/>
        <item x="1"/>
        <item x="0"/>
        <item x="4"/>
        <item t="default"/>
      </items>
    </pivotField>
    <pivotField showAll="0"/>
    <pivotField showAll="0"/>
    <pivotField showAll="0"/>
    <pivotField showAll="0"/>
    <pivotField showAll="0"/>
    <pivotField showAll="0"/>
    <pivotField showAll="0"/>
    <pivotField showAll="0"/>
    <pivotField axis="axisRow" showAll="0">
      <items count="4">
        <item x="1"/>
        <item x="2"/>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dragToRow="0" dragToCol="0" dragToPage="0" showAll="0" defaultSubtotal="0"/>
  </pivotFields>
  <rowFields count="1">
    <field x="20"/>
  </rowFields>
  <rowItems count="4">
    <i>
      <x/>
    </i>
    <i>
      <x v="1"/>
    </i>
    <i>
      <x v="2"/>
    </i>
    <i t="grand">
      <x/>
    </i>
  </rowItems>
  <colItems count="1">
    <i/>
  </colItems>
  <dataFields count="1">
    <dataField name="Count of Transaction ID" fld="0" subtotal="count" baseField="2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EB1479D-C189-4810-B877-97A051B8EC5C}" autoFormatId="16" applyNumberFormats="0" applyBorderFormats="0" applyFontFormats="0" applyPatternFormats="0" applyAlignmentFormats="0" applyWidthHeightFormats="0">
  <queryTableRefresh nextId="22">
    <queryTableFields count="21">
      <queryTableField id="1" name="Transaction ID" tableColumnId="1"/>
      <queryTableField id="2" name="Date" tableColumnId="2"/>
      <queryTableField id="3" name="Year" tableColumnId="3"/>
      <queryTableField id="4" name="Customer ID" tableColumnId="4"/>
      <queryTableField id="5" name="Customer Name" tableColumnId="5"/>
      <queryTableField id="6" name="Region" tableColumnId="6"/>
      <queryTableField id="7" name="City" tableColumnId="7"/>
      <queryTableField id="8" name="Product ID" tableColumnId="8"/>
      <queryTableField id="9" name="Product Name" tableColumnId="9"/>
      <queryTableField id="10" name="Category" tableColumnId="10"/>
      <queryTableField id="11" name="Sales Rep" tableColumnId="11"/>
      <queryTableField id="12" name="Channel" tableColumnId="12"/>
      <queryTableField id="13" name="Qty" tableColumnId="13"/>
      <queryTableField id="14" name="Unit Price ($)" tableColumnId="14"/>
      <queryTableField id="15" name="Gross Sales ($)" tableColumnId="15"/>
      <queryTableField id="16" name="Discount %" tableColumnId="16"/>
      <queryTableField id="17" name="Discount ($)" tableColumnId="17"/>
      <queryTableField id="18" name="Net Sales ($)" tableColumnId="18"/>
      <queryTableField id="19" name="Tax ($)" tableColumnId="19"/>
      <queryTableField id="20" name="Total ($)" tableColumnId="20"/>
      <queryTableField id="21" name="Status"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BF21F0F-D7CF-4276-B18F-6E8811F63A87}" sourceName="Category">
  <pivotTables>
    <pivotTable tabId="3" name="PivotTable4"/>
    <pivotTable tabId="3" name="PivotTable5"/>
    <pivotTable tabId="3" name="PivotTable6"/>
    <pivotTable tabId="3" name="PivotTable2"/>
    <pivotTable tabId="3" name="PivotTable3"/>
    <pivotTable tabId="3" name="PivotTable7"/>
    <pivotTable tabId="3" name="PivotTable8"/>
    <pivotTable tabId="3" name="PivotTable9"/>
    <pivotTable tabId="3" name="PivotTable10"/>
    <pivotTable tabId="3" name="PivotTable1"/>
  </pivotTables>
  <data>
    <tabular pivotCacheId="910373417">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0BE55B7-9F63-4EC3-877A-31381319647A}" sourceName="Region">
  <pivotTables>
    <pivotTable tabId="3" name="PivotTable4"/>
    <pivotTable tabId="3" name="PivotTable2"/>
    <pivotTable tabId="3" name="PivotTable3"/>
    <pivotTable tabId="3" name="PivotTable5"/>
    <pivotTable tabId="3" name="PivotTable6"/>
    <pivotTable tabId="3" name="PivotTable7"/>
    <pivotTable tabId="3" name="PivotTable8"/>
    <pivotTable tabId="3" name="PivotTable9"/>
    <pivotTable tabId="3" name="PivotTable10"/>
    <pivotTable tabId="3" name="PivotTable1"/>
  </pivotTables>
  <data>
    <tabular pivotCacheId="910373417">
      <items count="4">
        <i x="3" s="1"/>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2128C3FB-3894-4D53-9D85-697F5FBE9F94}" sourceName="Channel">
  <pivotTables>
    <pivotTable tabId="3" name="PivotTable10"/>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 tabId="3" name="PivotTable1"/>
  </pivotTables>
  <data>
    <tabular pivotCacheId="910373417">
      <items count="5">
        <i x="2" s="1"/>
        <i x="3" s="1"/>
        <i x="1" s="1"/>
        <i x="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2DCAC469-177D-406F-8563-B0393A475C67}" cache="Slicer_Category" caption="Category" rowHeight="241300"/>
  <slicer name="Region" xr10:uid="{EE67A9E4-444D-4A21-B036-0EBA49ACDCF6}" cache="Slicer_Region" caption="Region" rowHeight="241300"/>
  <slicer name="Channel" xr10:uid="{A063E9CB-52A4-4C07-9F3D-E69750B1A53C}" cache="Slicer_Channel" caption="Channel"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FC1B4E69-0AC3-4B68-B43E-2EB750426CCB}" cache="Slicer_Category" caption="Category" style="SlicerStyleDark1" rowHeight="241300"/>
  <slicer name="Region 1" xr10:uid="{FCFA088A-FC15-4F9D-98A9-D9D489A9656D}" cache="Slicer_Region" caption="Region" style="SlicerStyleDark1" rowHeight="241300"/>
  <slicer name="Channel 1" xr10:uid="{0B01F62B-547B-4B58-AC72-B6C144567894}" cache="Slicer_Channel" caption="Channel" style="SlicerStyleDark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2" xr10:uid="{CF1E7A6E-3089-4702-A129-984D563BCFA7}" cache="Slicer_Category" caption="Category" style="SlicerStyleDark1" rowHeight="241300"/>
  <slicer name="Channel 2" xr10:uid="{C6E3A3E6-0E4A-40B9-8B27-B52EA6A3485D}" cache="Slicer_Channel" caption="Channel" style="SlicerStyleDark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DA79E0F-1E8E-4C1E-8A61-F25394C51C0A}" name="Transactions" displayName="Transactions" ref="A1:U1003" tableType="queryTable" totalsRowShown="0">
  <autoFilter ref="A1:U1003" xr:uid="{3DA79E0F-1E8E-4C1E-8A61-F25394C51C0A}"/>
  <tableColumns count="21">
    <tableColumn id="1" xr3:uid="{44405A50-B628-4A4E-A20E-8A41BCEEE8C2}" uniqueName="1" name="Transaction ID" queryTableFieldId="1" dataDxfId="11"/>
    <tableColumn id="2" xr3:uid="{AD86AC8F-FFE8-406F-A49B-7A25D779E98E}" uniqueName="2" name="Date" queryTableFieldId="2" dataDxfId="10"/>
    <tableColumn id="3" xr3:uid="{463EF70B-1B54-4C4D-92CF-513AF5F917C1}" uniqueName="3" name="Year" queryTableFieldId="3"/>
    <tableColumn id="4" xr3:uid="{908D5650-AA40-4791-8F64-212E386C36F3}" uniqueName="4" name="Customer ID" queryTableFieldId="4" dataDxfId="9"/>
    <tableColumn id="5" xr3:uid="{96FCDA9D-87D6-49F7-AE3F-9ED951C7E8A3}" uniqueName="5" name="Customer Name" queryTableFieldId="5" dataDxfId="8"/>
    <tableColumn id="6" xr3:uid="{FABBC92E-00BC-4660-A797-65109C6CCF36}" uniqueName="6" name="Region" queryTableFieldId="6" dataDxfId="7"/>
    <tableColumn id="7" xr3:uid="{2CF8F702-084C-4E4F-A27E-E7BF0987C546}" uniqueName="7" name="City" queryTableFieldId="7" dataDxfId="6"/>
    <tableColumn id="8" xr3:uid="{54C35BC5-4DEF-4476-AAD0-797020D2AAB4}" uniqueName="8" name="Product ID" queryTableFieldId="8" dataDxfId="5"/>
    <tableColumn id="9" xr3:uid="{9FEA9B41-EA79-428E-A76F-A552F10C0AE8}" uniqueName="9" name="Product Name" queryTableFieldId="9" dataDxfId="4"/>
    <tableColumn id="10" xr3:uid="{A44F5EEC-7510-4FC9-9E89-A829125C4D2A}" uniqueName="10" name="Category" queryTableFieldId="10" dataDxfId="3"/>
    <tableColumn id="11" xr3:uid="{8517BEB4-1FF3-4712-9A82-58F5DFA913D1}" uniqueName="11" name="Sales Rep" queryTableFieldId="11" dataDxfId="2"/>
    <tableColumn id="12" xr3:uid="{ED67A54B-1EB1-40E4-8243-671072B53B02}" uniqueName="12" name="Channel" queryTableFieldId="12" dataDxfId="1"/>
    <tableColumn id="13" xr3:uid="{EFA203D0-F4D3-45FC-AE76-F76949092B6B}" uniqueName="13" name="Qty" queryTableFieldId="13"/>
    <tableColumn id="14" xr3:uid="{895892F9-CB17-400C-BF8D-D2ED3527279F}" uniqueName="14" name="Unit Price ($)" queryTableFieldId="14"/>
    <tableColumn id="15" xr3:uid="{01E6D594-B7A1-47D1-A5A0-E9C28E389672}" uniqueName="15" name="Gross Sales ($)" queryTableFieldId="15"/>
    <tableColumn id="16" xr3:uid="{4759A29C-8DC3-4D65-A893-0993834A4EF8}" uniqueName="16" name="Discount %" queryTableFieldId="16"/>
    <tableColumn id="17" xr3:uid="{9D6105BF-BB3A-4CE7-AD14-D4DD400158B9}" uniqueName="17" name="Discount ($)" queryTableFieldId="17"/>
    <tableColumn id="18" xr3:uid="{F4ADCAB9-6234-486E-8542-A16910655B48}" uniqueName="18" name="Net Sales ($)" queryTableFieldId="18"/>
    <tableColumn id="19" xr3:uid="{E3DC12CE-6746-45D9-B333-59FC08A05627}" uniqueName="19" name="Tax ($)" queryTableFieldId="19"/>
    <tableColumn id="20" xr3:uid="{A2A4A574-C8AC-46F0-8126-18F597EA697E}" uniqueName="20" name="Total ($)" queryTableFieldId="20"/>
    <tableColumn id="21" xr3:uid="{139B74A8-7E17-483B-92D5-7AA2208289D8}" uniqueName="21" name="Status" queryTableFieldId="21"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AA1FABA9-7548-4CAA-8728-8FD89FCB9FEF}" sourceName="Date">
  <pivotTables>
    <pivotTable tabId="3" name="PivotTable4"/>
    <pivotTable tabId="3" name="PivotTable5"/>
    <pivotTable tabId="3" name="PivotTable2"/>
    <pivotTable tabId="3" name="PivotTable3"/>
    <pivotTable tabId="3" name="PivotTable6"/>
    <pivotTable tabId="3" name="PivotTable7"/>
    <pivotTable tabId="3" name="PivotTable8"/>
    <pivotTable tabId="3" name="PivotTable9"/>
    <pivotTable tabId="3" name="PivotTable10"/>
    <pivotTable tabId="3" name="PivotTable1"/>
  </pivotTables>
  <state minimalRefreshVersion="6" lastRefreshVersion="6" pivotCacheId="910373417" filterType="unknown">
    <bounds startDate="2021-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3DA7E4D6-2B69-4366-B27B-8D4E0304C397}" cache="NativeTimeline_Date" caption="Date" level="2" selectionLevel="2" scrollPosition="2025-06-07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0803B053-0475-4CAD-B357-86C4081731FA}" cache="NativeTimeline_Date" caption="Date" level="0" selectionLevel="0" scrollPosition="2023-07-14T00:00:00" style="TimeSlicerStyleDark1"/>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9F1524F2-B9A1-41BB-86FA-C4B48CCE30AB}" cache="NativeTimeline_Date" caption="Date" level="0" selectionLevel="0" scrollPosition="2023-06-30T00:00:00" style="TimeSlicerStyleDark1"/>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11/relationships/timeline" Target="../timelines/timeline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F6B3B-010B-4ACC-B6F2-9B0462B4FC5E}">
  <dimension ref="A1:AC28"/>
  <sheetViews>
    <sheetView topLeftCell="U1" workbookViewId="0">
      <selection activeCell="AC11" sqref="AB3:AC16"/>
    </sheetView>
  </sheetViews>
  <sheetFormatPr defaultRowHeight="14.5" x14ac:dyDescent="0.35"/>
  <cols>
    <col min="1" max="1" width="20.81640625" bestFit="1" customWidth="1"/>
    <col min="4" max="4" width="14.1796875" bestFit="1" customWidth="1"/>
    <col min="5" max="5" width="13.6328125" bestFit="1" customWidth="1"/>
    <col min="7" max="7" width="12.36328125" bestFit="1" customWidth="1"/>
    <col min="8" max="8" width="14.1796875" bestFit="1" customWidth="1"/>
    <col min="10" max="10" width="12.36328125" bestFit="1" customWidth="1"/>
    <col min="11" max="11" width="20.81640625" bestFit="1" customWidth="1"/>
    <col min="12" max="12" width="10.08984375" bestFit="1" customWidth="1"/>
    <col min="13" max="13" width="20.6328125" bestFit="1" customWidth="1"/>
    <col min="16" max="16" width="12.36328125" bestFit="1" customWidth="1"/>
    <col min="17" max="17" width="20.81640625" bestFit="1" customWidth="1"/>
    <col min="19" max="19" width="18.81640625" bestFit="1" customWidth="1"/>
    <col min="20" max="20" width="14.1796875" bestFit="1" customWidth="1"/>
    <col min="22" max="22" width="12.36328125" bestFit="1" customWidth="1"/>
    <col min="23" max="23" width="14.1796875" bestFit="1" customWidth="1"/>
    <col min="28" max="28" width="12.36328125" bestFit="1" customWidth="1"/>
    <col min="29" max="29" width="14.1796875" bestFit="1" customWidth="1"/>
    <col min="30" max="30" width="12" bestFit="1" customWidth="1"/>
  </cols>
  <sheetData>
    <row r="1" spans="1:29" x14ac:dyDescent="0.35">
      <c r="AB1" s="11" t="s">
        <v>1</v>
      </c>
      <c r="AC1" t="s">
        <v>1196</v>
      </c>
    </row>
    <row r="3" spans="1:29" x14ac:dyDescent="0.35">
      <c r="A3" t="s">
        <v>1118</v>
      </c>
      <c r="B3" t="s">
        <v>1119</v>
      </c>
      <c r="D3" t="s">
        <v>1120</v>
      </c>
      <c r="E3" t="s">
        <v>1121</v>
      </c>
      <c r="G3" s="11" t="s">
        <v>1122</v>
      </c>
      <c r="H3" t="s">
        <v>1120</v>
      </c>
      <c r="J3" s="11" t="s">
        <v>1122</v>
      </c>
      <c r="K3" t="s">
        <v>1118</v>
      </c>
      <c r="L3" t="s">
        <v>1122</v>
      </c>
      <c r="M3" t="s">
        <v>1125</v>
      </c>
      <c r="P3" t="s">
        <v>1124</v>
      </c>
      <c r="Q3" t="str">
        <f>P3</f>
        <v>Sum of Qty</v>
      </c>
      <c r="S3" s="11" t="s">
        <v>1122</v>
      </c>
      <c r="T3" t="s">
        <v>1120</v>
      </c>
      <c r="V3" s="11" t="s">
        <v>1122</v>
      </c>
      <c r="W3" t="s">
        <v>1120</v>
      </c>
      <c r="AB3" s="11" t="s">
        <v>1122</v>
      </c>
      <c r="AC3" t="s">
        <v>1120</v>
      </c>
    </row>
    <row r="4" spans="1:29" x14ac:dyDescent="0.35">
      <c r="A4" s="23">
        <v>1002</v>
      </c>
      <c r="B4">
        <f>GETPIVOTDATA("Transaction ID",$A$3)</f>
        <v>1002</v>
      </c>
      <c r="D4" s="23">
        <v>3543587.4399999962</v>
      </c>
      <c r="E4" s="12">
        <f>GETPIVOTDATA("Total ($)",$D$3)</f>
        <v>3543587.4399999962</v>
      </c>
      <c r="G4" s="13" t="s">
        <v>47</v>
      </c>
      <c r="H4" s="23">
        <v>2449437.5099999979</v>
      </c>
      <c r="J4" s="13" t="s">
        <v>39</v>
      </c>
      <c r="K4" s="23">
        <v>681</v>
      </c>
      <c r="L4" t="s">
        <v>39</v>
      </c>
      <c r="M4" s="15">
        <v>0.67964071856287422</v>
      </c>
      <c r="N4" s="14"/>
      <c r="P4" s="23">
        <v>15822</v>
      </c>
      <c r="Q4">
        <f>GETPIVOTDATA("Qty",$P$3)</f>
        <v>15822</v>
      </c>
      <c r="S4" s="13" t="s">
        <v>55</v>
      </c>
      <c r="T4" s="23">
        <v>33122.299999999996</v>
      </c>
      <c r="V4" s="13">
        <v>2021</v>
      </c>
      <c r="W4" s="23">
        <v>728810.9299999997</v>
      </c>
      <c r="AB4" s="13" t="s">
        <v>1142</v>
      </c>
      <c r="AC4" s="23">
        <v>328708.32</v>
      </c>
    </row>
    <row r="5" spans="1:29" x14ac:dyDescent="0.35">
      <c r="G5" s="13" t="s">
        <v>56</v>
      </c>
      <c r="H5" s="23">
        <v>1010145.0599999996</v>
      </c>
      <c r="J5" s="13" t="s">
        <v>111</v>
      </c>
      <c r="K5" s="23">
        <v>172</v>
      </c>
      <c r="L5" t="s">
        <v>111</v>
      </c>
      <c r="M5" s="15">
        <v>0.17165668662674652</v>
      </c>
      <c r="N5" s="14"/>
      <c r="S5" s="13" t="s">
        <v>67</v>
      </c>
      <c r="T5" s="23">
        <v>197645.85000000003</v>
      </c>
      <c r="V5" s="13">
        <v>2022</v>
      </c>
      <c r="W5" s="23">
        <v>668703.28999999946</v>
      </c>
      <c r="AB5" s="13" t="s">
        <v>1143</v>
      </c>
      <c r="AC5" s="23">
        <v>216183.97000000006</v>
      </c>
    </row>
    <row r="6" spans="1:29" x14ac:dyDescent="0.35">
      <c r="G6" s="13" t="s">
        <v>28</v>
      </c>
      <c r="H6" s="23">
        <v>84004.869999999952</v>
      </c>
      <c r="J6" s="13" t="s">
        <v>31</v>
      </c>
      <c r="K6" s="23">
        <v>149</v>
      </c>
      <c r="L6" t="s">
        <v>31</v>
      </c>
      <c r="M6" s="15">
        <v>0.14870259481037923</v>
      </c>
      <c r="N6" s="14"/>
      <c r="P6" s="11" t="s">
        <v>1122</v>
      </c>
      <c r="Q6" t="s">
        <v>1118</v>
      </c>
      <c r="S6" s="13" t="s">
        <v>85</v>
      </c>
      <c r="T6" s="23">
        <v>233394.94999999995</v>
      </c>
      <c r="V6" s="13">
        <v>2023</v>
      </c>
      <c r="W6" s="23">
        <v>726230.48000000033</v>
      </c>
      <c r="AB6" s="13" t="s">
        <v>1144</v>
      </c>
      <c r="AC6" s="23">
        <v>334842.38000000012</v>
      </c>
    </row>
    <row r="7" spans="1:29" x14ac:dyDescent="0.35">
      <c r="G7" s="13" t="s">
        <v>1123</v>
      </c>
      <c r="H7" s="23">
        <v>3543587.4399999976</v>
      </c>
      <c r="J7" s="13" t="s">
        <v>1123</v>
      </c>
      <c r="K7" s="23">
        <v>1002</v>
      </c>
      <c r="L7" t="s">
        <v>1123</v>
      </c>
      <c r="M7">
        <v>1002</v>
      </c>
      <c r="P7" s="13" t="s">
        <v>39</v>
      </c>
      <c r="Q7" s="23">
        <v>681</v>
      </c>
      <c r="S7" s="13" t="s">
        <v>72</v>
      </c>
      <c r="T7" s="23">
        <v>1203585.1800000002</v>
      </c>
      <c r="V7" s="13">
        <v>2024</v>
      </c>
      <c r="W7" s="23">
        <v>842165.61</v>
      </c>
      <c r="AB7" s="13" t="s">
        <v>1145</v>
      </c>
      <c r="AC7" s="23">
        <v>230188.89999999997</v>
      </c>
    </row>
    <row r="8" spans="1:29" x14ac:dyDescent="0.35">
      <c r="P8" s="13" t="s">
        <v>111</v>
      </c>
      <c r="Q8" s="23">
        <v>172</v>
      </c>
      <c r="S8" s="13" t="s">
        <v>146</v>
      </c>
      <c r="T8" s="23">
        <v>125495.34</v>
      </c>
      <c r="V8" s="13">
        <v>2025</v>
      </c>
      <c r="W8" s="23">
        <v>577677.12999999966</v>
      </c>
      <c r="AB8" s="13" t="s">
        <v>1146</v>
      </c>
      <c r="AC8" s="23">
        <v>322688.07</v>
      </c>
    </row>
    <row r="9" spans="1:29" x14ac:dyDescent="0.35">
      <c r="P9" s="13" t="s">
        <v>31</v>
      </c>
      <c r="Q9" s="23">
        <v>149</v>
      </c>
      <c r="R9">
        <f>GETPIVOTDATA("Transaction ID",$P$6,"Status","Returned")</f>
        <v>149</v>
      </c>
      <c r="S9" s="13" t="s">
        <v>129</v>
      </c>
      <c r="T9" s="23">
        <v>365894.89999999991</v>
      </c>
      <c r="V9" s="13" t="s">
        <v>1123</v>
      </c>
      <c r="W9" s="23">
        <v>3543587.4399999995</v>
      </c>
      <c r="AB9" s="13" t="s">
        <v>1147</v>
      </c>
      <c r="AC9" s="23">
        <v>253064.33999999997</v>
      </c>
    </row>
    <row r="10" spans="1:29" x14ac:dyDescent="0.35">
      <c r="P10" s="13" t="s">
        <v>1123</v>
      </c>
      <c r="Q10" s="23">
        <v>1002</v>
      </c>
      <c r="S10" s="13" t="s">
        <v>27</v>
      </c>
      <c r="T10" s="23">
        <v>8599.4900000000016</v>
      </c>
      <c r="AB10" s="13" t="s">
        <v>1148</v>
      </c>
      <c r="AC10" s="23">
        <v>308276.67</v>
      </c>
    </row>
    <row r="11" spans="1:29" x14ac:dyDescent="0.35">
      <c r="N11" s="2"/>
      <c r="O11" s="3"/>
      <c r="P11" s="4"/>
      <c r="S11" s="13" t="s">
        <v>95</v>
      </c>
      <c r="T11" s="23">
        <v>385023.60000000003</v>
      </c>
      <c r="AB11" s="13" t="s">
        <v>1149</v>
      </c>
      <c r="AC11" s="23">
        <v>284907.32000000007</v>
      </c>
    </row>
    <row r="12" spans="1:29" x14ac:dyDescent="0.35">
      <c r="N12" s="5"/>
      <c r="O12" s="6"/>
      <c r="P12" s="7"/>
      <c r="S12" s="13" t="s">
        <v>79</v>
      </c>
      <c r="T12" s="23">
        <v>6287.08</v>
      </c>
      <c r="AB12" s="13" t="s">
        <v>1150</v>
      </c>
      <c r="AC12" s="23">
        <v>216657.79000000012</v>
      </c>
    </row>
    <row r="13" spans="1:29" x14ac:dyDescent="0.35">
      <c r="N13" s="5"/>
      <c r="O13" s="6"/>
      <c r="P13" s="7"/>
      <c r="S13" s="13" t="s">
        <v>59</v>
      </c>
      <c r="T13" s="23">
        <v>394353.31</v>
      </c>
      <c r="AB13" s="13" t="s">
        <v>1151</v>
      </c>
      <c r="AC13" s="23">
        <v>435322.08999999979</v>
      </c>
    </row>
    <row r="14" spans="1:29" x14ac:dyDescent="0.35">
      <c r="N14" s="5"/>
      <c r="O14" s="6"/>
      <c r="P14" s="7"/>
      <c r="S14" s="13" t="s">
        <v>105</v>
      </c>
      <c r="T14" s="23">
        <v>386142.99000000005</v>
      </c>
      <c r="AB14" s="13" t="s">
        <v>1152</v>
      </c>
      <c r="AC14" s="23">
        <v>318186.08000000013</v>
      </c>
    </row>
    <row r="15" spans="1:29" x14ac:dyDescent="0.35">
      <c r="N15" s="5"/>
      <c r="O15" s="6"/>
      <c r="P15" s="7"/>
      <c r="S15" s="13" t="s">
        <v>209</v>
      </c>
      <c r="T15" s="23">
        <v>35509.829999999987</v>
      </c>
      <c r="AB15" s="13" t="s">
        <v>1153</v>
      </c>
      <c r="AC15" s="23">
        <v>294561.51000000013</v>
      </c>
    </row>
    <row r="16" spans="1:29" x14ac:dyDescent="0.35">
      <c r="N16" s="5"/>
      <c r="O16" s="6"/>
      <c r="P16" s="7"/>
      <c r="S16" s="13" t="s">
        <v>46</v>
      </c>
      <c r="T16" s="23">
        <v>73098.999999999971</v>
      </c>
      <c r="AB16" s="13" t="s">
        <v>1123</v>
      </c>
      <c r="AC16" s="23">
        <v>3543587.44</v>
      </c>
    </row>
    <row r="17" spans="14:20" x14ac:dyDescent="0.35">
      <c r="N17" s="5"/>
      <c r="O17" s="6"/>
      <c r="P17" s="7"/>
      <c r="S17" s="13" t="s">
        <v>126</v>
      </c>
      <c r="T17" s="23">
        <v>69118.299999999988</v>
      </c>
    </row>
    <row r="18" spans="14:20" x14ac:dyDescent="0.35">
      <c r="N18" s="5"/>
      <c r="O18" s="6"/>
      <c r="P18" s="7"/>
      <c r="S18" s="13" t="s">
        <v>101</v>
      </c>
      <c r="T18" s="23">
        <v>26315.320000000003</v>
      </c>
    </row>
    <row r="19" spans="14:20" x14ac:dyDescent="0.35">
      <c r="N19" s="5"/>
      <c r="O19" s="6"/>
      <c r="P19" s="7"/>
      <c r="S19" s="13" t="s">
        <v>1123</v>
      </c>
      <c r="T19" s="23">
        <v>3543587.4400000009</v>
      </c>
    </row>
    <row r="20" spans="14:20" x14ac:dyDescent="0.35">
      <c r="N20" s="5"/>
      <c r="O20" s="6"/>
      <c r="P20" s="7"/>
    </row>
    <row r="21" spans="14:20" x14ac:dyDescent="0.35">
      <c r="N21" s="5"/>
      <c r="O21" s="6"/>
      <c r="P21" s="7"/>
    </row>
    <row r="22" spans="14:20" x14ac:dyDescent="0.35">
      <c r="N22" s="5"/>
      <c r="O22" s="6"/>
      <c r="P22" s="7"/>
    </row>
    <row r="23" spans="14:20" x14ac:dyDescent="0.35">
      <c r="N23" s="5"/>
      <c r="O23" s="6"/>
      <c r="P23" s="7"/>
    </row>
    <row r="24" spans="14:20" x14ac:dyDescent="0.35">
      <c r="N24" s="5"/>
      <c r="O24" s="6"/>
      <c r="P24" s="7"/>
    </row>
    <row r="25" spans="14:20" x14ac:dyDescent="0.35">
      <c r="N25" s="5"/>
      <c r="O25" s="6"/>
      <c r="P25" s="7"/>
    </row>
    <row r="26" spans="14:20" x14ac:dyDescent="0.35">
      <c r="N26" s="5"/>
      <c r="O26" s="6"/>
      <c r="P26" s="7"/>
    </row>
    <row r="27" spans="14:20" x14ac:dyDescent="0.35">
      <c r="N27" s="5"/>
      <c r="O27" s="6"/>
      <c r="P27" s="7"/>
    </row>
    <row r="28" spans="14:20" x14ac:dyDescent="0.35">
      <c r="N28" s="8"/>
      <c r="O28" s="9"/>
      <c r="P28" s="10"/>
    </row>
  </sheetData>
  <pageMargins left="0.7" right="0.7" top="0.75" bottom="0.75" header="0.3" footer="0.3"/>
  <drawing r:id="rId11"/>
  <extLst>
    <ext xmlns:x14="http://schemas.microsoft.com/office/spreadsheetml/2009/9/main" uri="{A8765BA9-456A-4dab-B4F3-ACF838C121DE}">
      <x14:slicerList>
        <x14:slicer r:id="rId12"/>
      </x14:slicerList>
    </ext>
    <ext xmlns:x15="http://schemas.microsoft.com/office/spreadsheetml/2010/11/main" uri="{7E03D99C-DC04-49d9-9315-930204A7B6E9}">
      <x15:timelineRefs>
        <x15:timelineRef r:id="rId1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1C5C3-3AEC-4BC3-8F94-6A4314DD4D93}">
  <dimension ref="A1:U1003"/>
  <sheetViews>
    <sheetView topLeftCell="H1" workbookViewId="0">
      <selection activeCell="I10" sqref="I10"/>
    </sheetView>
  </sheetViews>
  <sheetFormatPr defaultRowHeight="14.5" x14ac:dyDescent="0.35"/>
  <cols>
    <col min="1" max="1" width="15.26953125" bestFit="1" customWidth="1"/>
    <col min="2" max="2" width="10.453125" bestFit="1" customWidth="1"/>
    <col min="3" max="3" width="6.81640625" bestFit="1" customWidth="1"/>
    <col min="4" max="4" width="13.54296875" bestFit="1" customWidth="1"/>
    <col min="5" max="5" width="16.7265625" bestFit="1" customWidth="1"/>
    <col min="7" max="7" width="13.7265625" bestFit="1" customWidth="1"/>
    <col min="8" max="8" width="12" bestFit="1" customWidth="1"/>
    <col min="9" max="9" width="18.81640625" bestFit="1" customWidth="1"/>
    <col min="10" max="10" width="10.54296875" bestFit="1" customWidth="1"/>
    <col min="11" max="11" width="11.7265625" bestFit="1" customWidth="1"/>
    <col min="12" max="12" width="9.90625" bestFit="1" customWidth="1"/>
    <col min="13" max="13" width="6.08984375" bestFit="1" customWidth="1"/>
    <col min="14" max="14" width="13.90625" bestFit="1" customWidth="1"/>
    <col min="15" max="15" width="15.26953125" bestFit="1" customWidth="1"/>
    <col min="16" max="16" width="12.36328125" bestFit="1" customWidth="1"/>
    <col min="17" max="17" width="13.1796875" bestFit="1" customWidth="1"/>
    <col min="18" max="18" width="13.453125" bestFit="1" customWidth="1"/>
    <col min="20" max="20" width="10.08984375" bestFit="1" customWidth="1"/>
    <col min="21" max="21" width="9.90625" bestFit="1" customWidth="1"/>
  </cols>
  <sheetData>
    <row r="1" spans="1:21"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5">
      <c r="A2" t="s">
        <v>21</v>
      </c>
      <c r="B2" s="1">
        <v>44197</v>
      </c>
      <c r="C2">
        <v>2021</v>
      </c>
      <c r="D2" t="s">
        <v>22</v>
      </c>
      <c r="E2" t="s">
        <v>23</v>
      </c>
      <c r="F2" t="s">
        <v>24</v>
      </c>
      <c r="G2" t="s">
        <v>25</v>
      </c>
      <c r="H2" t="s">
        <v>26</v>
      </c>
      <c r="I2" t="s">
        <v>27</v>
      </c>
      <c r="J2" t="s">
        <v>28</v>
      </c>
      <c r="K2" t="s">
        <v>29</v>
      </c>
      <c r="L2" t="s">
        <v>30</v>
      </c>
      <c r="M2">
        <v>30</v>
      </c>
      <c r="N2">
        <v>8.99</v>
      </c>
      <c r="O2">
        <v>269.7</v>
      </c>
      <c r="P2">
        <v>0.08</v>
      </c>
      <c r="Q2">
        <v>21.58</v>
      </c>
      <c r="R2">
        <v>248.12</v>
      </c>
      <c r="S2">
        <v>19.850000000000001</v>
      </c>
      <c r="T2">
        <v>0</v>
      </c>
      <c r="U2" t="s">
        <v>31</v>
      </c>
    </row>
    <row r="3" spans="1:21" x14ac:dyDescent="0.35">
      <c r="A3" t="s">
        <v>32</v>
      </c>
      <c r="B3" s="1">
        <v>44198</v>
      </c>
      <c r="C3">
        <v>2021</v>
      </c>
      <c r="D3" t="s">
        <v>33</v>
      </c>
      <c r="E3" t="s">
        <v>34</v>
      </c>
      <c r="F3" t="s">
        <v>35</v>
      </c>
      <c r="G3" t="s">
        <v>36</v>
      </c>
      <c r="H3" t="s">
        <v>26</v>
      </c>
      <c r="I3" t="s">
        <v>27</v>
      </c>
      <c r="J3" t="s">
        <v>28</v>
      </c>
      <c r="K3" t="s">
        <v>37</v>
      </c>
      <c r="L3" t="s">
        <v>38</v>
      </c>
      <c r="M3">
        <v>15</v>
      </c>
      <c r="N3">
        <v>8.99</v>
      </c>
      <c r="O3">
        <v>134.85</v>
      </c>
      <c r="P3">
        <v>0.13</v>
      </c>
      <c r="Q3">
        <v>17.53</v>
      </c>
      <c r="R3">
        <v>117.32</v>
      </c>
      <c r="S3">
        <v>9.39</v>
      </c>
      <c r="T3">
        <v>126.71</v>
      </c>
      <c r="U3" t="s">
        <v>39</v>
      </c>
    </row>
    <row r="4" spans="1:21" x14ac:dyDescent="0.35">
      <c r="A4" t="s">
        <v>40</v>
      </c>
      <c r="B4" s="1">
        <v>44202</v>
      </c>
      <c r="C4">
        <v>2021</v>
      </c>
      <c r="D4" t="s">
        <v>41</v>
      </c>
      <c r="E4" t="s">
        <v>42</v>
      </c>
      <c r="F4" t="s">
        <v>43</v>
      </c>
      <c r="G4" t="s">
        <v>44</v>
      </c>
      <c r="H4" t="s">
        <v>45</v>
      </c>
      <c r="I4" t="s">
        <v>46</v>
      </c>
      <c r="J4" t="s">
        <v>47</v>
      </c>
      <c r="K4" t="s">
        <v>48</v>
      </c>
      <c r="L4" t="s">
        <v>49</v>
      </c>
      <c r="M4">
        <v>28</v>
      </c>
      <c r="N4">
        <v>89.99</v>
      </c>
      <c r="O4">
        <v>2519.7199999999998</v>
      </c>
      <c r="P4">
        <v>0.08</v>
      </c>
      <c r="Q4">
        <v>201.58</v>
      </c>
      <c r="R4">
        <v>2318.14</v>
      </c>
      <c r="S4">
        <v>185.45</v>
      </c>
      <c r="T4">
        <v>0</v>
      </c>
      <c r="U4" t="s">
        <v>31</v>
      </c>
    </row>
    <row r="5" spans="1:21" x14ac:dyDescent="0.35">
      <c r="A5" t="s">
        <v>50</v>
      </c>
      <c r="B5" s="1">
        <v>44203</v>
      </c>
      <c r="C5">
        <v>2021</v>
      </c>
      <c r="D5" t="s">
        <v>51</v>
      </c>
      <c r="E5" t="s">
        <v>52</v>
      </c>
      <c r="F5" t="s">
        <v>24</v>
      </c>
      <c r="G5" t="s">
        <v>53</v>
      </c>
      <c r="H5" t="s">
        <v>54</v>
      </c>
      <c r="I5" t="s">
        <v>55</v>
      </c>
      <c r="J5" t="s">
        <v>56</v>
      </c>
      <c r="K5" t="s">
        <v>29</v>
      </c>
      <c r="L5" t="s">
        <v>38</v>
      </c>
      <c r="M5">
        <v>28</v>
      </c>
      <c r="N5">
        <v>39.99</v>
      </c>
      <c r="O5">
        <v>1119.72</v>
      </c>
      <c r="P5">
        <v>0.16</v>
      </c>
      <c r="Q5">
        <v>179.16</v>
      </c>
      <c r="R5">
        <v>940.56</v>
      </c>
      <c r="S5">
        <v>75.239999999999995</v>
      </c>
      <c r="T5">
        <v>1015.8</v>
      </c>
      <c r="U5" t="s">
        <v>39</v>
      </c>
    </row>
    <row r="6" spans="1:21" x14ac:dyDescent="0.35">
      <c r="A6" t="s">
        <v>57</v>
      </c>
      <c r="B6" s="1">
        <v>44206</v>
      </c>
      <c r="C6">
        <v>2021</v>
      </c>
      <c r="D6" t="s">
        <v>22</v>
      </c>
      <c r="E6" t="s">
        <v>23</v>
      </c>
      <c r="F6" t="s">
        <v>24</v>
      </c>
      <c r="G6" t="s">
        <v>25</v>
      </c>
      <c r="H6" t="s">
        <v>58</v>
      </c>
      <c r="I6" t="s">
        <v>59</v>
      </c>
      <c r="J6" t="s">
        <v>56</v>
      </c>
      <c r="K6" t="s">
        <v>60</v>
      </c>
      <c r="L6" t="s">
        <v>49</v>
      </c>
      <c r="M6">
        <v>16</v>
      </c>
      <c r="N6">
        <v>599.99</v>
      </c>
      <c r="O6">
        <v>9599.84</v>
      </c>
      <c r="P6">
        <v>0.05</v>
      </c>
      <c r="Q6">
        <v>479.99</v>
      </c>
      <c r="R6">
        <v>9119.85</v>
      </c>
      <c r="S6">
        <v>729.59</v>
      </c>
      <c r="T6">
        <v>9849.44</v>
      </c>
      <c r="U6" t="s">
        <v>39</v>
      </c>
    </row>
    <row r="7" spans="1:21" x14ac:dyDescent="0.35">
      <c r="A7" t="s">
        <v>61</v>
      </c>
      <c r="B7" s="1">
        <v>44207</v>
      </c>
      <c r="C7">
        <v>2021</v>
      </c>
      <c r="D7" t="s">
        <v>62</v>
      </c>
      <c r="E7" t="s">
        <v>63</v>
      </c>
      <c r="F7" t="s">
        <v>64</v>
      </c>
      <c r="G7" t="s">
        <v>65</v>
      </c>
      <c r="H7" t="s">
        <v>66</v>
      </c>
      <c r="I7" t="s">
        <v>67</v>
      </c>
      <c r="J7" t="s">
        <v>56</v>
      </c>
      <c r="K7" t="s">
        <v>68</v>
      </c>
      <c r="L7" t="s">
        <v>69</v>
      </c>
      <c r="M7">
        <v>7</v>
      </c>
      <c r="N7">
        <v>229.99</v>
      </c>
      <c r="O7">
        <v>1609.93</v>
      </c>
      <c r="P7">
        <v>0</v>
      </c>
      <c r="Q7">
        <v>0</v>
      </c>
      <c r="R7">
        <v>1609.93</v>
      </c>
      <c r="S7">
        <v>128.79</v>
      </c>
      <c r="T7">
        <v>1738.72</v>
      </c>
      <c r="U7" t="s">
        <v>39</v>
      </c>
    </row>
    <row r="8" spans="1:21" x14ac:dyDescent="0.35">
      <c r="A8" t="s">
        <v>70</v>
      </c>
      <c r="B8" s="1">
        <v>44210</v>
      </c>
      <c r="C8">
        <v>2021</v>
      </c>
      <c r="D8" t="s">
        <v>33</v>
      </c>
      <c r="E8" t="s">
        <v>34</v>
      </c>
      <c r="F8" t="s">
        <v>35</v>
      </c>
      <c r="G8" t="s">
        <v>36</v>
      </c>
      <c r="H8" t="s">
        <v>71</v>
      </c>
      <c r="I8" t="s">
        <v>72</v>
      </c>
      <c r="J8" t="s">
        <v>47</v>
      </c>
      <c r="K8" t="s">
        <v>29</v>
      </c>
      <c r="L8" t="s">
        <v>73</v>
      </c>
      <c r="M8">
        <v>20</v>
      </c>
      <c r="N8">
        <v>1199.99</v>
      </c>
      <c r="O8">
        <v>23999.8</v>
      </c>
      <c r="P8">
        <v>0.08</v>
      </c>
      <c r="Q8">
        <v>1919.98</v>
      </c>
      <c r="R8">
        <v>22079.82</v>
      </c>
      <c r="S8">
        <v>1766.39</v>
      </c>
      <c r="T8">
        <v>0</v>
      </c>
      <c r="U8" t="s">
        <v>31</v>
      </c>
    </row>
    <row r="9" spans="1:21" x14ac:dyDescent="0.35">
      <c r="A9" t="s">
        <v>74</v>
      </c>
      <c r="B9" s="1">
        <v>44210</v>
      </c>
      <c r="C9">
        <v>2021</v>
      </c>
      <c r="D9" t="s">
        <v>75</v>
      </c>
      <c r="E9" t="s">
        <v>76</v>
      </c>
      <c r="F9" t="s">
        <v>64</v>
      </c>
      <c r="G9" t="s">
        <v>77</v>
      </c>
      <c r="H9" t="s">
        <v>78</v>
      </c>
      <c r="I9" t="s">
        <v>79</v>
      </c>
      <c r="J9" t="s">
        <v>28</v>
      </c>
      <c r="K9" t="s">
        <v>60</v>
      </c>
      <c r="L9" t="s">
        <v>73</v>
      </c>
      <c r="M9">
        <v>18</v>
      </c>
      <c r="N9">
        <v>5.99</v>
      </c>
      <c r="O9">
        <v>107.82</v>
      </c>
      <c r="P9">
        <v>0.05</v>
      </c>
      <c r="Q9">
        <v>5.39</v>
      </c>
      <c r="R9">
        <v>102.43</v>
      </c>
      <c r="S9">
        <v>8.19</v>
      </c>
      <c r="T9">
        <v>0</v>
      </c>
      <c r="U9" t="s">
        <v>31</v>
      </c>
    </row>
    <row r="10" spans="1:21" x14ac:dyDescent="0.35">
      <c r="A10" t="s">
        <v>80</v>
      </c>
      <c r="B10" s="1">
        <v>44213</v>
      </c>
      <c r="C10">
        <v>2021</v>
      </c>
      <c r="D10" t="s">
        <v>81</v>
      </c>
      <c r="E10" t="s">
        <v>82</v>
      </c>
      <c r="F10" t="s">
        <v>35</v>
      </c>
      <c r="G10" t="s">
        <v>83</v>
      </c>
      <c r="H10" t="s">
        <v>84</v>
      </c>
      <c r="I10" t="s">
        <v>85</v>
      </c>
      <c r="J10" t="s">
        <v>47</v>
      </c>
      <c r="K10" t="s">
        <v>48</v>
      </c>
      <c r="L10" t="s">
        <v>69</v>
      </c>
      <c r="M10">
        <v>14</v>
      </c>
      <c r="N10">
        <v>249.99</v>
      </c>
      <c r="O10">
        <v>3499.86</v>
      </c>
      <c r="P10">
        <v>0.05</v>
      </c>
      <c r="Q10">
        <v>174.99</v>
      </c>
      <c r="R10">
        <v>3324.87</v>
      </c>
      <c r="S10">
        <v>265.99</v>
      </c>
      <c r="T10">
        <v>0</v>
      </c>
      <c r="U10" t="s">
        <v>31</v>
      </c>
    </row>
    <row r="11" spans="1:21" x14ac:dyDescent="0.35">
      <c r="A11" t="s">
        <v>86</v>
      </c>
      <c r="B11" s="1">
        <v>44213</v>
      </c>
      <c r="C11">
        <v>2021</v>
      </c>
      <c r="D11" t="s">
        <v>87</v>
      </c>
      <c r="E11" t="s">
        <v>88</v>
      </c>
      <c r="F11" t="s">
        <v>24</v>
      </c>
      <c r="G11" t="s">
        <v>89</v>
      </c>
      <c r="H11" t="s">
        <v>78</v>
      </c>
      <c r="I11" t="s">
        <v>79</v>
      </c>
      <c r="J11" t="s">
        <v>28</v>
      </c>
      <c r="K11" t="s">
        <v>29</v>
      </c>
      <c r="L11" t="s">
        <v>49</v>
      </c>
      <c r="M11">
        <v>8</v>
      </c>
      <c r="N11">
        <v>5.99</v>
      </c>
      <c r="O11">
        <v>47.92</v>
      </c>
      <c r="P11">
        <v>0</v>
      </c>
      <c r="Q11">
        <v>0</v>
      </c>
      <c r="R11">
        <v>47.92</v>
      </c>
      <c r="S11">
        <v>3.83</v>
      </c>
      <c r="T11">
        <v>51.75</v>
      </c>
      <c r="U11" t="s">
        <v>39</v>
      </c>
    </row>
    <row r="12" spans="1:21" x14ac:dyDescent="0.35">
      <c r="A12" t="s">
        <v>90</v>
      </c>
      <c r="B12" s="1">
        <v>44213</v>
      </c>
      <c r="C12">
        <v>2021</v>
      </c>
      <c r="D12" t="s">
        <v>91</v>
      </c>
      <c r="E12" t="s">
        <v>92</v>
      </c>
      <c r="F12" t="s">
        <v>24</v>
      </c>
      <c r="G12" t="s">
        <v>93</v>
      </c>
      <c r="H12" t="s">
        <v>94</v>
      </c>
      <c r="I12" t="s">
        <v>95</v>
      </c>
      <c r="J12" t="s">
        <v>56</v>
      </c>
      <c r="K12" t="s">
        <v>68</v>
      </c>
      <c r="L12" t="s">
        <v>69</v>
      </c>
      <c r="M12">
        <v>3</v>
      </c>
      <c r="N12">
        <v>349.99</v>
      </c>
      <c r="O12">
        <v>1049.97</v>
      </c>
      <c r="P12">
        <v>0</v>
      </c>
      <c r="Q12">
        <v>0</v>
      </c>
      <c r="R12">
        <v>1049.97</v>
      </c>
      <c r="S12">
        <v>84</v>
      </c>
      <c r="T12">
        <v>1133.97</v>
      </c>
      <c r="U12" t="s">
        <v>39</v>
      </c>
    </row>
    <row r="13" spans="1:21" x14ac:dyDescent="0.35">
      <c r="A13" t="s">
        <v>96</v>
      </c>
      <c r="B13" s="1">
        <v>44219</v>
      </c>
      <c r="C13">
        <v>2021</v>
      </c>
      <c r="D13" t="s">
        <v>97</v>
      </c>
      <c r="E13" t="s">
        <v>98</v>
      </c>
      <c r="F13" t="s">
        <v>35</v>
      </c>
      <c r="G13" t="s">
        <v>99</v>
      </c>
      <c r="H13" t="s">
        <v>100</v>
      </c>
      <c r="I13" t="s">
        <v>101</v>
      </c>
      <c r="J13" t="s">
        <v>47</v>
      </c>
      <c r="K13" t="s">
        <v>37</v>
      </c>
      <c r="L13" t="s">
        <v>30</v>
      </c>
      <c r="M13">
        <v>26</v>
      </c>
      <c r="N13">
        <v>29.99</v>
      </c>
      <c r="O13">
        <v>779.74</v>
      </c>
      <c r="P13">
        <v>0.08</v>
      </c>
      <c r="Q13">
        <v>62.38</v>
      </c>
      <c r="R13">
        <v>717.36</v>
      </c>
      <c r="S13">
        <v>57.39</v>
      </c>
      <c r="T13">
        <v>774.75</v>
      </c>
      <c r="U13" t="s">
        <v>39</v>
      </c>
    </row>
    <row r="14" spans="1:21" x14ac:dyDescent="0.35">
      <c r="A14" t="s">
        <v>102</v>
      </c>
      <c r="B14" s="1">
        <v>44220</v>
      </c>
      <c r="C14">
        <v>2021</v>
      </c>
      <c r="D14" t="s">
        <v>51</v>
      </c>
      <c r="E14" t="s">
        <v>52</v>
      </c>
      <c r="F14" t="s">
        <v>24</v>
      </c>
      <c r="G14" t="s">
        <v>53</v>
      </c>
      <c r="H14" t="s">
        <v>84</v>
      </c>
      <c r="I14" t="s">
        <v>85</v>
      </c>
      <c r="J14" t="s">
        <v>47</v>
      </c>
      <c r="K14" t="s">
        <v>29</v>
      </c>
      <c r="L14" t="s">
        <v>73</v>
      </c>
      <c r="M14">
        <v>1</v>
      </c>
      <c r="N14">
        <v>249.99</v>
      </c>
      <c r="O14">
        <v>249.99</v>
      </c>
      <c r="P14">
        <v>0</v>
      </c>
      <c r="Q14">
        <v>0</v>
      </c>
      <c r="R14">
        <v>249.99</v>
      </c>
      <c r="S14">
        <v>20</v>
      </c>
      <c r="T14">
        <v>269.99</v>
      </c>
      <c r="U14" t="s">
        <v>39</v>
      </c>
    </row>
    <row r="15" spans="1:21" x14ac:dyDescent="0.35">
      <c r="A15" t="s">
        <v>103</v>
      </c>
      <c r="B15" s="1">
        <v>44220</v>
      </c>
      <c r="C15">
        <v>2021</v>
      </c>
      <c r="D15" t="s">
        <v>41</v>
      </c>
      <c r="E15" t="s">
        <v>42</v>
      </c>
      <c r="F15" t="s">
        <v>43</v>
      </c>
      <c r="G15" t="s">
        <v>44</v>
      </c>
      <c r="H15" t="s">
        <v>104</v>
      </c>
      <c r="I15" t="s">
        <v>105</v>
      </c>
      <c r="J15" t="s">
        <v>47</v>
      </c>
      <c r="K15" t="s">
        <v>37</v>
      </c>
      <c r="L15" t="s">
        <v>38</v>
      </c>
      <c r="M15">
        <v>5</v>
      </c>
      <c r="N15">
        <v>479.99</v>
      </c>
      <c r="O15">
        <v>2399.9499999999998</v>
      </c>
      <c r="P15">
        <v>0.08</v>
      </c>
      <c r="Q15">
        <v>192</v>
      </c>
      <c r="R15">
        <v>2207.9499999999998</v>
      </c>
      <c r="S15">
        <v>176.64</v>
      </c>
      <c r="T15">
        <v>2384.59</v>
      </c>
      <c r="U15" t="s">
        <v>39</v>
      </c>
    </row>
    <row r="16" spans="1:21" x14ac:dyDescent="0.35">
      <c r="A16" t="s">
        <v>106</v>
      </c>
      <c r="B16" s="1">
        <v>44222</v>
      </c>
      <c r="C16">
        <v>2021</v>
      </c>
      <c r="D16" t="s">
        <v>107</v>
      </c>
      <c r="E16" t="s">
        <v>108</v>
      </c>
      <c r="F16" t="s">
        <v>35</v>
      </c>
      <c r="G16" t="s">
        <v>109</v>
      </c>
      <c r="H16" t="s">
        <v>104</v>
      </c>
      <c r="I16" t="s">
        <v>105</v>
      </c>
      <c r="J16" t="s">
        <v>47</v>
      </c>
      <c r="K16" t="s">
        <v>68</v>
      </c>
      <c r="L16" t="s">
        <v>38</v>
      </c>
      <c r="M16">
        <v>4</v>
      </c>
      <c r="N16">
        <v>479.99</v>
      </c>
      <c r="O16">
        <v>1919.96</v>
      </c>
      <c r="P16">
        <v>0.08</v>
      </c>
      <c r="Q16">
        <v>153.6</v>
      </c>
      <c r="R16">
        <v>1766.36</v>
      </c>
      <c r="S16">
        <v>141.31</v>
      </c>
      <c r="T16">
        <v>0</v>
      </c>
      <c r="U16" t="s">
        <v>31</v>
      </c>
    </row>
    <row r="17" spans="1:21" x14ac:dyDescent="0.35">
      <c r="A17" t="s">
        <v>110</v>
      </c>
      <c r="B17" s="1">
        <v>44223</v>
      </c>
      <c r="C17">
        <v>2021</v>
      </c>
      <c r="D17" t="s">
        <v>97</v>
      </c>
      <c r="E17" t="s">
        <v>98</v>
      </c>
      <c r="F17" t="s">
        <v>35</v>
      </c>
      <c r="G17" t="s">
        <v>99</v>
      </c>
      <c r="H17" t="s">
        <v>54</v>
      </c>
      <c r="I17" t="s">
        <v>55</v>
      </c>
      <c r="J17" t="s">
        <v>56</v>
      </c>
      <c r="K17" t="s">
        <v>48</v>
      </c>
      <c r="L17" t="s">
        <v>38</v>
      </c>
      <c r="M17">
        <v>15</v>
      </c>
      <c r="N17">
        <v>39.99</v>
      </c>
      <c r="O17">
        <v>599.85</v>
      </c>
      <c r="P17">
        <v>0.13</v>
      </c>
      <c r="Q17">
        <v>77.98</v>
      </c>
      <c r="R17">
        <v>521.87</v>
      </c>
      <c r="S17">
        <v>41.75</v>
      </c>
      <c r="T17">
        <v>563.62</v>
      </c>
      <c r="U17" t="s">
        <v>111</v>
      </c>
    </row>
    <row r="18" spans="1:21" x14ac:dyDescent="0.35">
      <c r="A18" t="s">
        <v>112</v>
      </c>
      <c r="B18" s="1">
        <v>44224</v>
      </c>
      <c r="C18">
        <v>2021</v>
      </c>
      <c r="D18" t="s">
        <v>81</v>
      </c>
      <c r="E18" t="s">
        <v>82</v>
      </c>
      <c r="F18" t="s">
        <v>35</v>
      </c>
      <c r="G18" t="s">
        <v>83</v>
      </c>
      <c r="H18" t="s">
        <v>71</v>
      </c>
      <c r="I18" t="s">
        <v>72</v>
      </c>
      <c r="J18" t="s">
        <v>47</v>
      </c>
      <c r="K18" t="s">
        <v>48</v>
      </c>
      <c r="L18" t="s">
        <v>73</v>
      </c>
      <c r="M18">
        <v>2</v>
      </c>
      <c r="N18">
        <v>1199.99</v>
      </c>
      <c r="O18">
        <v>2399.98</v>
      </c>
      <c r="P18">
        <v>0</v>
      </c>
      <c r="Q18">
        <v>0</v>
      </c>
      <c r="R18">
        <v>2399.98</v>
      </c>
      <c r="S18">
        <v>192</v>
      </c>
      <c r="T18">
        <v>2591.98</v>
      </c>
      <c r="U18" t="s">
        <v>39</v>
      </c>
    </row>
    <row r="19" spans="1:21" x14ac:dyDescent="0.35">
      <c r="A19" t="s">
        <v>113</v>
      </c>
      <c r="B19" s="1">
        <v>44227</v>
      </c>
      <c r="C19">
        <v>2021</v>
      </c>
      <c r="D19" t="s">
        <v>62</v>
      </c>
      <c r="E19" t="s">
        <v>63</v>
      </c>
      <c r="F19" t="s">
        <v>64</v>
      </c>
      <c r="G19" t="s">
        <v>65</v>
      </c>
      <c r="H19" t="s">
        <v>94</v>
      </c>
      <c r="I19" t="s">
        <v>95</v>
      </c>
      <c r="J19" t="s">
        <v>56</v>
      </c>
      <c r="K19" t="s">
        <v>29</v>
      </c>
      <c r="L19" t="s">
        <v>49</v>
      </c>
      <c r="M19">
        <v>3</v>
      </c>
      <c r="N19">
        <v>349.99</v>
      </c>
      <c r="O19">
        <v>1049.97</v>
      </c>
      <c r="P19">
        <v>0</v>
      </c>
      <c r="Q19">
        <v>0</v>
      </c>
      <c r="R19">
        <v>1049.97</v>
      </c>
      <c r="S19">
        <v>84</v>
      </c>
      <c r="T19">
        <v>1133.97</v>
      </c>
      <c r="U19" t="s">
        <v>39</v>
      </c>
    </row>
    <row r="20" spans="1:21" x14ac:dyDescent="0.35">
      <c r="A20" t="s">
        <v>114</v>
      </c>
      <c r="B20" s="1">
        <v>44228</v>
      </c>
      <c r="C20">
        <v>2021</v>
      </c>
      <c r="D20" t="s">
        <v>62</v>
      </c>
      <c r="E20" t="s">
        <v>63</v>
      </c>
      <c r="F20" t="s">
        <v>64</v>
      </c>
      <c r="G20" t="s">
        <v>65</v>
      </c>
      <c r="H20" t="s">
        <v>100</v>
      </c>
      <c r="I20" t="s">
        <v>101</v>
      </c>
      <c r="J20" t="s">
        <v>47</v>
      </c>
      <c r="K20" t="s">
        <v>37</v>
      </c>
      <c r="L20" t="s">
        <v>30</v>
      </c>
      <c r="M20">
        <v>12</v>
      </c>
      <c r="N20">
        <v>29.99</v>
      </c>
      <c r="O20">
        <v>359.88</v>
      </c>
      <c r="P20">
        <v>0.05</v>
      </c>
      <c r="Q20">
        <v>17.989999999999998</v>
      </c>
      <c r="R20">
        <v>341.89</v>
      </c>
      <c r="S20">
        <v>27.35</v>
      </c>
      <c r="T20">
        <v>369.24</v>
      </c>
      <c r="U20" t="s">
        <v>111</v>
      </c>
    </row>
    <row r="21" spans="1:21" x14ac:dyDescent="0.35">
      <c r="A21" t="s">
        <v>115</v>
      </c>
      <c r="B21" s="1">
        <v>44232</v>
      </c>
      <c r="C21">
        <v>2021</v>
      </c>
      <c r="D21" t="s">
        <v>87</v>
      </c>
      <c r="E21" t="s">
        <v>88</v>
      </c>
      <c r="F21" t="s">
        <v>24</v>
      </c>
      <c r="G21" t="s">
        <v>89</v>
      </c>
      <c r="H21" t="s">
        <v>94</v>
      </c>
      <c r="I21" t="s">
        <v>95</v>
      </c>
      <c r="J21" t="s">
        <v>56</v>
      </c>
      <c r="K21" t="s">
        <v>37</v>
      </c>
      <c r="L21" t="s">
        <v>73</v>
      </c>
      <c r="M21">
        <v>29</v>
      </c>
      <c r="N21">
        <v>349.99</v>
      </c>
      <c r="O21">
        <v>10149.709999999999</v>
      </c>
      <c r="P21">
        <v>0.08</v>
      </c>
      <c r="Q21">
        <v>811.98</v>
      </c>
      <c r="R21">
        <v>9337.73</v>
      </c>
      <c r="S21">
        <v>747.02</v>
      </c>
      <c r="T21">
        <v>10084.75</v>
      </c>
      <c r="U21" t="s">
        <v>39</v>
      </c>
    </row>
    <row r="22" spans="1:21" x14ac:dyDescent="0.35">
      <c r="A22" t="s">
        <v>116</v>
      </c>
      <c r="B22" s="1">
        <v>44232</v>
      </c>
      <c r="C22">
        <v>2021</v>
      </c>
      <c r="D22" t="s">
        <v>91</v>
      </c>
      <c r="E22" t="s">
        <v>92</v>
      </c>
      <c r="F22" t="s">
        <v>24</v>
      </c>
      <c r="G22" t="s">
        <v>93</v>
      </c>
      <c r="H22" t="s">
        <v>94</v>
      </c>
      <c r="I22" t="s">
        <v>95</v>
      </c>
      <c r="J22" t="s">
        <v>56</v>
      </c>
      <c r="K22" t="s">
        <v>29</v>
      </c>
      <c r="L22" t="s">
        <v>38</v>
      </c>
      <c r="M22">
        <v>9</v>
      </c>
      <c r="N22">
        <v>349.99</v>
      </c>
      <c r="O22">
        <v>3149.91</v>
      </c>
      <c r="P22">
        <v>0.08</v>
      </c>
      <c r="Q22">
        <v>251.99</v>
      </c>
      <c r="R22">
        <v>2897.92</v>
      </c>
      <c r="S22">
        <v>231.83</v>
      </c>
      <c r="T22">
        <v>3129.75</v>
      </c>
      <c r="U22" t="s">
        <v>39</v>
      </c>
    </row>
    <row r="23" spans="1:21" x14ac:dyDescent="0.35">
      <c r="A23" t="s">
        <v>117</v>
      </c>
      <c r="B23" s="1">
        <v>44232</v>
      </c>
      <c r="C23">
        <v>2021</v>
      </c>
      <c r="D23" t="s">
        <v>87</v>
      </c>
      <c r="E23" t="s">
        <v>88</v>
      </c>
      <c r="F23" t="s">
        <v>24</v>
      </c>
      <c r="G23" t="s">
        <v>89</v>
      </c>
      <c r="H23" t="s">
        <v>78</v>
      </c>
      <c r="I23" t="s">
        <v>79</v>
      </c>
      <c r="J23" t="s">
        <v>28</v>
      </c>
      <c r="K23" t="s">
        <v>68</v>
      </c>
      <c r="L23" t="s">
        <v>49</v>
      </c>
      <c r="M23">
        <v>21</v>
      </c>
      <c r="N23">
        <v>5.99</v>
      </c>
      <c r="O23">
        <v>125.79</v>
      </c>
      <c r="P23">
        <v>0.08</v>
      </c>
      <c r="Q23">
        <v>10.06</v>
      </c>
      <c r="R23">
        <v>115.73</v>
      </c>
      <c r="S23">
        <v>9.26</v>
      </c>
      <c r="T23">
        <v>124.99</v>
      </c>
      <c r="U23" t="s">
        <v>39</v>
      </c>
    </row>
    <row r="24" spans="1:21" x14ac:dyDescent="0.35">
      <c r="A24" t="s">
        <v>118</v>
      </c>
      <c r="B24" s="1">
        <v>44232</v>
      </c>
      <c r="C24">
        <v>2021</v>
      </c>
      <c r="D24" t="s">
        <v>107</v>
      </c>
      <c r="E24" t="s">
        <v>108</v>
      </c>
      <c r="F24" t="s">
        <v>35</v>
      </c>
      <c r="G24" t="s">
        <v>109</v>
      </c>
      <c r="H24" t="s">
        <v>78</v>
      </c>
      <c r="I24" t="s">
        <v>79</v>
      </c>
      <c r="J24" t="s">
        <v>28</v>
      </c>
      <c r="K24" t="s">
        <v>60</v>
      </c>
      <c r="L24" t="s">
        <v>30</v>
      </c>
      <c r="M24">
        <v>20</v>
      </c>
      <c r="N24">
        <v>5.99</v>
      </c>
      <c r="O24">
        <v>119.8</v>
      </c>
      <c r="P24">
        <v>0.08</v>
      </c>
      <c r="Q24">
        <v>9.58</v>
      </c>
      <c r="R24">
        <v>110.22</v>
      </c>
      <c r="S24">
        <v>8.82</v>
      </c>
      <c r="T24">
        <v>119.04</v>
      </c>
      <c r="U24" t="s">
        <v>39</v>
      </c>
    </row>
    <row r="25" spans="1:21" x14ac:dyDescent="0.35">
      <c r="A25" t="s">
        <v>119</v>
      </c>
      <c r="B25" s="1">
        <v>44234</v>
      </c>
      <c r="C25">
        <v>2021</v>
      </c>
      <c r="D25" t="s">
        <v>62</v>
      </c>
      <c r="E25" t="s">
        <v>63</v>
      </c>
      <c r="F25" t="s">
        <v>64</v>
      </c>
      <c r="G25" t="s">
        <v>65</v>
      </c>
      <c r="H25" t="s">
        <v>84</v>
      </c>
      <c r="I25" t="s">
        <v>85</v>
      </c>
      <c r="J25" t="s">
        <v>47</v>
      </c>
      <c r="K25" t="s">
        <v>37</v>
      </c>
      <c r="L25" t="s">
        <v>38</v>
      </c>
      <c r="M25">
        <v>30</v>
      </c>
      <c r="N25">
        <v>249.99</v>
      </c>
      <c r="O25">
        <v>7499.7</v>
      </c>
      <c r="P25">
        <v>0.16</v>
      </c>
      <c r="Q25">
        <v>1199.95</v>
      </c>
      <c r="R25">
        <v>6299.75</v>
      </c>
      <c r="S25">
        <v>503.98</v>
      </c>
      <c r="T25">
        <v>6803.73</v>
      </c>
      <c r="U25" t="s">
        <v>39</v>
      </c>
    </row>
    <row r="26" spans="1:21" x14ac:dyDescent="0.35">
      <c r="A26" t="s">
        <v>120</v>
      </c>
      <c r="B26" s="1">
        <v>44235</v>
      </c>
      <c r="C26">
        <v>2021</v>
      </c>
      <c r="D26" t="s">
        <v>81</v>
      </c>
      <c r="E26" t="s">
        <v>82</v>
      </c>
      <c r="F26" t="s">
        <v>35</v>
      </c>
      <c r="G26" t="s">
        <v>83</v>
      </c>
      <c r="H26" t="s">
        <v>71</v>
      </c>
      <c r="I26" t="s">
        <v>72</v>
      </c>
      <c r="J26" t="s">
        <v>47</v>
      </c>
      <c r="K26" t="s">
        <v>29</v>
      </c>
      <c r="L26" t="s">
        <v>38</v>
      </c>
      <c r="M26">
        <v>5</v>
      </c>
      <c r="N26">
        <v>1199.99</v>
      </c>
      <c r="O26">
        <v>5999.95</v>
      </c>
      <c r="P26">
        <v>0.08</v>
      </c>
      <c r="Q26">
        <v>480</v>
      </c>
      <c r="R26">
        <v>5519.95</v>
      </c>
      <c r="S26">
        <v>441.6</v>
      </c>
      <c r="T26">
        <v>5961.55</v>
      </c>
      <c r="U26" t="s">
        <v>111</v>
      </c>
    </row>
    <row r="27" spans="1:21" x14ac:dyDescent="0.35">
      <c r="A27" t="s">
        <v>121</v>
      </c>
      <c r="B27" s="1">
        <v>44239</v>
      </c>
      <c r="C27">
        <v>2021</v>
      </c>
      <c r="D27" t="s">
        <v>122</v>
      </c>
      <c r="E27" t="s">
        <v>123</v>
      </c>
      <c r="F27" t="s">
        <v>64</v>
      </c>
      <c r="G27" t="s">
        <v>124</v>
      </c>
      <c r="H27" t="s">
        <v>125</v>
      </c>
      <c r="I27" t="s">
        <v>126</v>
      </c>
      <c r="J27" t="s">
        <v>28</v>
      </c>
      <c r="K27" t="s">
        <v>48</v>
      </c>
      <c r="L27" t="s">
        <v>30</v>
      </c>
      <c r="M27">
        <v>1</v>
      </c>
      <c r="N27">
        <v>79.989999999999995</v>
      </c>
      <c r="O27">
        <v>79.989999999999995</v>
      </c>
      <c r="P27">
        <v>0</v>
      </c>
      <c r="Q27">
        <v>0</v>
      </c>
      <c r="R27">
        <v>79.989999999999995</v>
      </c>
      <c r="S27">
        <v>6.4</v>
      </c>
      <c r="T27">
        <v>86.39</v>
      </c>
      <c r="U27" t="s">
        <v>111</v>
      </c>
    </row>
    <row r="28" spans="1:21" x14ac:dyDescent="0.35">
      <c r="A28" t="s">
        <v>127</v>
      </c>
      <c r="B28" s="1">
        <v>44242</v>
      </c>
      <c r="C28">
        <v>2021</v>
      </c>
      <c r="D28" t="s">
        <v>51</v>
      </c>
      <c r="E28" t="s">
        <v>52</v>
      </c>
      <c r="F28" t="s">
        <v>24</v>
      </c>
      <c r="G28" t="s">
        <v>53</v>
      </c>
      <c r="H28" t="s">
        <v>128</v>
      </c>
      <c r="I28" t="s">
        <v>129</v>
      </c>
      <c r="J28" t="s">
        <v>47</v>
      </c>
      <c r="K28" t="s">
        <v>60</v>
      </c>
      <c r="L28" t="s">
        <v>30</v>
      </c>
      <c r="M28">
        <v>15</v>
      </c>
      <c r="N28">
        <v>399.99</v>
      </c>
      <c r="O28">
        <v>5999.85</v>
      </c>
      <c r="P28">
        <v>0.05</v>
      </c>
      <c r="Q28">
        <v>299.99</v>
      </c>
      <c r="R28">
        <v>5699.86</v>
      </c>
      <c r="S28">
        <v>455.99</v>
      </c>
      <c r="T28">
        <v>6155.85</v>
      </c>
      <c r="U28" t="s">
        <v>39</v>
      </c>
    </row>
    <row r="29" spans="1:21" x14ac:dyDescent="0.35">
      <c r="A29" t="s">
        <v>130</v>
      </c>
      <c r="B29" s="1">
        <v>44245</v>
      </c>
      <c r="C29">
        <v>2021</v>
      </c>
      <c r="D29" t="s">
        <v>41</v>
      </c>
      <c r="E29" t="s">
        <v>42</v>
      </c>
      <c r="F29" t="s">
        <v>43</v>
      </c>
      <c r="G29" t="s">
        <v>44</v>
      </c>
      <c r="H29" t="s">
        <v>45</v>
      </c>
      <c r="I29" t="s">
        <v>46</v>
      </c>
      <c r="J29" t="s">
        <v>47</v>
      </c>
      <c r="K29" t="s">
        <v>29</v>
      </c>
      <c r="L29" t="s">
        <v>38</v>
      </c>
      <c r="M29">
        <v>7</v>
      </c>
      <c r="N29">
        <v>89.99</v>
      </c>
      <c r="O29">
        <v>629.92999999999995</v>
      </c>
      <c r="P29">
        <v>0.08</v>
      </c>
      <c r="Q29">
        <v>50.39</v>
      </c>
      <c r="R29">
        <v>579.54</v>
      </c>
      <c r="S29">
        <v>46.36</v>
      </c>
      <c r="T29">
        <v>625.9</v>
      </c>
      <c r="U29" t="s">
        <v>39</v>
      </c>
    </row>
    <row r="30" spans="1:21" x14ac:dyDescent="0.35">
      <c r="A30" t="s">
        <v>131</v>
      </c>
      <c r="B30" s="1">
        <v>44247</v>
      </c>
      <c r="C30">
        <v>2021</v>
      </c>
      <c r="D30" t="s">
        <v>122</v>
      </c>
      <c r="E30" t="s">
        <v>123</v>
      </c>
      <c r="F30" t="s">
        <v>64</v>
      </c>
      <c r="G30" t="s">
        <v>124</v>
      </c>
      <c r="H30" t="s">
        <v>54</v>
      </c>
      <c r="I30" t="s">
        <v>55</v>
      </c>
      <c r="J30" t="s">
        <v>56</v>
      </c>
      <c r="K30" t="s">
        <v>48</v>
      </c>
      <c r="L30" t="s">
        <v>73</v>
      </c>
      <c r="M30">
        <v>21</v>
      </c>
      <c r="N30">
        <v>39.99</v>
      </c>
      <c r="O30">
        <v>839.79</v>
      </c>
      <c r="P30">
        <v>0.08</v>
      </c>
      <c r="Q30">
        <v>67.180000000000007</v>
      </c>
      <c r="R30">
        <v>772.61</v>
      </c>
      <c r="S30">
        <v>61.81</v>
      </c>
      <c r="T30">
        <v>834.42</v>
      </c>
      <c r="U30" t="s">
        <v>39</v>
      </c>
    </row>
    <row r="31" spans="1:21" x14ac:dyDescent="0.35">
      <c r="A31" t="s">
        <v>132</v>
      </c>
      <c r="B31" s="1">
        <v>44248</v>
      </c>
      <c r="C31">
        <v>2021</v>
      </c>
      <c r="D31" t="s">
        <v>81</v>
      </c>
      <c r="E31" t="s">
        <v>82</v>
      </c>
      <c r="F31" t="s">
        <v>35</v>
      </c>
      <c r="G31" t="s">
        <v>83</v>
      </c>
      <c r="H31" t="s">
        <v>58</v>
      </c>
      <c r="I31" t="s">
        <v>59</v>
      </c>
      <c r="J31" t="s">
        <v>56</v>
      </c>
      <c r="K31" t="s">
        <v>48</v>
      </c>
      <c r="L31" t="s">
        <v>30</v>
      </c>
      <c r="M31">
        <v>10</v>
      </c>
      <c r="N31">
        <v>599.99</v>
      </c>
      <c r="O31">
        <v>5999.9</v>
      </c>
      <c r="P31">
        <v>0.05</v>
      </c>
      <c r="Q31">
        <v>300</v>
      </c>
      <c r="R31">
        <v>5699.9</v>
      </c>
      <c r="S31">
        <v>455.99</v>
      </c>
      <c r="T31">
        <v>0</v>
      </c>
      <c r="U31" t="s">
        <v>31</v>
      </c>
    </row>
    <row r="32" spans="1:21" x14ac:dyDescent="0.35">
      <c r="A32" t="s">
        <v>133</v>
      </c>
      <c r="B32" s="1">
        <v>44249</v>
      </c>
      <c r="C32">
        <v>2021</v>
      </c>
      <c r="D32" t="s">
        <v>91</v>
      </c>
      <c r="E32" t="s">
        <v>92</v>
      </c>
      <c r="F32" t="s">
        <v>24</v>
      </c>
      <c r="G32" t="s">
        <v>93</v>
      </c>
      <c r="H32" t="s">
        <v>100</v>
      </c>
      <c r="I32" t="s">
        <v>101</v>
      </c>
      <c r="J32" t="s">
        <v>47</v>
      </c>
      <c r="K32" t="s">
        <v>37</v>
      </c>
      <c r="L32" t="s">
        <v>73</v>
      </c>
      <c r="M32">
        <v>5</v>
      </c>
      <c r="N32">
        <v>29.99</v>
      </c>
      <c r="O32">
        <v>149.94999999999999</v>
      </c>
      <c r="P32">
        <v>0</v>
      </c>
      <c r="Q32">
        <v>0</v>
      </c>
      <c r="R32">
        <v>149.94999999999999</v>
      </c>
      <c r="S32">
        <v>12</v>
      </c>
      <c r="T32">
        <v>161.94999999999999</v>
      </c>
      <c r="U32" t="s">
        <v>39</v>
      </c>
    </row>
    <row r="33" spans="1:21" x14ac:dyDescent="0.35">
      <c r="A33" t="s">
        <v>134</v>
      </c>
      <c r="B33" s="1">
        <v>44251</v>
      </c>
      <c r="C33">
        <v>2021</v>
      </c>
      <c r="D33" t="s">
        <v>107</v>
      </c>
      <c r="E33" t="s">
        <v>108</v>
      </c>
      <c r="F33" t="s">
        <v>35</v>
      </c>
      <c r="G33" t="s">
        <v>109</v>
      </c>
      <c r="H33" t="s">
        <v>78</v>
      </c>
      <c r="I33" t="s">
        <v>79</v>
      </c>
      <c r="J33" t="s">
        <v>28</v>
      </c>
      <c r="K33" t="s">
        <v>37</v>
      </c>
      <c r="L33" t="s">
        <v>30</v>
      </c>
      <c r="M33">
        <v>17</v>
      </c>
      <c r="N33">
        <v>5.99</v>
      </c>
      <c r="O33">
        <v>101.83</v>
      </c>
      <c r="P33">
        <v>0.05</v>
      </c>
      <c r="Q33">
        <v>5.09</v>
      </c>
      <c r="R33">
        <v>96.74</v>
      </c>
      <c r="S33">
        <v>7.74</v>
      </c>
      <c r="T33">
        <v>104.48</v>
      </c>
      <c r="U33" t="s">
        <v>39</v>
      </c>
    </row>
    <row r="34" spans="1:21" x14ac:dyDescent="0.35">
      <c r="A34" t="s">
        <v>135</v>
      </c>
      <c r="B34" s="1">
        <v>44251</v>
      </c>
      <c r="C34">
        <v>2021</v>
      </c>
      <c r="D34" t="s">
        <v>107</v>
      </c>
      <c r="E34" t="s">
        <v>108</v>
      </c>
      <c r="F34" t="s">
        <v>35</v>
      </c>
      <c r="G34" t="s">
        <v>109</v>
      </c>
      <c r="H34" t="s">
        <v>58</v>
      </c>
      <c r="I34" t="s">
        <v>59</v>
      </c>
      <c r="J34" t="s">
        <v>56</v>
      </c>
      <c r="K34" t="s">
        <v>68</v>
      </c>
      <c r="L34" t="s">
        <v>73</v>
      </c>
      <c r="M34">
        <v>4</v>
      </c>
      <c r="N34">
        <v>599.99</v>
      </c>
      <c r="O34">
        <v>2399.96</v>
      </c>
      <c r="P34">
        <v>0</v>
      </c>
      <c r="Q34">
        <v>0</v>
      </c>
      <c r="R34">
        <v>2399.96</v>
      </c>
      <c r="S34">
        <v>192</v>
      </c>
      <c r="T34">
        <v>2591.96</v>
      </c>
      <c r="U34" t="s">
        <v>39</v>
      </c>
    </row>
    <row r="35" spans="1:21" x14ac:dyDescent="0.35">
      <c r="A35" t="s">
        <v>136</v>
      </c>
      <c r="B35" s="1">
        <v>44254</v>
      </c>
      <c r="C35">
        <v>2021</v>
      </c>
      <c r="D35" t="s">
        <v>41</v>
      </c>
      <c r="E35" t="s">
        <v>42</v>
      </c>
      <c r="F35" t="s">
        <v>43</v>
      </c>
      <c r="G35" t="s">
        <v>44</v>
      </c>
      <c r="H35" t="s">
        <v>78</v>
      </c>
      <c r="I35" t="s">
        <v>79</v>
      </c>
      <c r="J35" t="s">
        <v>28</v>
      </c>
      <c r="K35" t="s">
        <v>48</v>
      </c>
      <c r="L35" t="s">
        <v>38</v>
      </c>
      <c r="M35">
        <v>1</v>
      </c>
      <c r="N35">
        <v>5.99</v>
      </c>
      <c r="O35">
        <v>5.99</v>
      </c>
      <c r="P35">
        <v>0.08</v>
      </c>
      <c r="Q35">
        <v>0.48</v>
      </c>
      <c r="R35">
        <v>5.51</v>
      </c>
      <c r="S35">
        <v>0.44</v>
      </c>
      <c r="T35">
        <v>0</v>
      </c>
      <c r="U35" t="s">
        <v>31</v>
      </c>
    </row>
    <row r="36" spans="1:21" x14ac:dyDescent="0.35">
      <c r="A36" t="s">
        <v>137</v>
      </c>
      <c r="B36" s="1">
        <v>44255</v>
      </c>
      <c r="C36">
        <v>2021</v>
      </c>
      <c r="D36" t="s">
        <v>75</v>
      </c>
      <c r="E36" t="s">
        <v>76</v>
      </c>
      <c r="F36" t="s">
        <v>64</v>
      </c>
      <c r="G36" t="s">
        <v>77</v>
      </c>
      <c r="H36" t="s">
        <v>45</v>
      </c>
      <c r="I36" t="s">
        <v>46</v>
      </c>
      <c r="J36" t="s">
        <v>47</v>
      </c>
      <c r="K36" t="s">
        <v>29</v>
      </c>
      <c r="L36" t="s">
        <v>73</v>
      </c>
      <c r="M36">
        <v>22</v>
      </c>
      <c r="N36">
        <v>89.99</v>
      </c>
      <c r="O36">
        <v>1979.78</v>
      </c>
      <c r="P36">
        <v>0.08</v>
      </c>
      <c r="Q36">
        <v>158.38</v>
      </c>
      <c r="R36">
        <v>1821.4</v>
      </c>
      <c r="S36">
        <v>145.71</v>
      </c>
      <c r="T36">
        <v>1967.11</v>
      </c>
      <c r="U36" t="s">
        <v>39</v>
      </c>
    </row>
    <row r="37" spans="1:21" x14ac:dyDescent="0.35">
      <c r="A37" t="s">
        <v>138</v>
      </c>
      <c r="B37" s="1">
        <v>44260</v>
      </c>
      <c r="C37">
        <v>2021</v>
      </c>
      <c r="D37" t="s">
        <v>97</v>
      </c>
      <c r="E37" t="s">
        <v>98</v>
      </c>
      <c r="F37" t="s">
        <v>35</v>
      </c>
      <c r="G37" t="s">
        <v>99</v>
      </c>
      <c r="H37" t="s">
        <v>125</v>
      </c>
      <c r="I37" t="s">
        <v>126</v>
      </c>
      <c r="J37" t="s">
        <v>28</v>
      </c>
      <c r="K37" t="s">
        <v>48</v>
      </c>
      <c r="L37" t="s">
        <v>49</v>
      </c>
      <c r="M37">
        <v>28</v>
      </c>
      <c r="N37">
        <v>79.989999999999995</v>
      </c>
      <c r="O37">
        <v>2239.7199999999998</v>
      </c>
      <c r="P37">
        <v>0.08</v>
      </c>
      <c r="Q37">
        <v>179.18</v>
      </c>
      <c r="R37">
        <v>2060.54</v>
      </c>
      <c r="S37">
        <v>164.84</v>
      </c>
      <c r="T37">
        <v>2225.38</v>
      </c>
      <c r="U37" t="s">
        <v>111</v>
      </c>
    </row>
    <row r="38" spans="1:21" x14ac:dyDescent="0.35">
      <c r="A38" t="s">
        <v>139</v>
      </c>
      <c r="B38" s="1">
        <v>44261</v>
      </c>
      <c r="C38">
        <v>2021</v>
      </c>
      <c r="D38" t="s">
        <v>33</v>
      </c>
      <c r="E38" t="s">
        <v>34</v>
      </c>
      <c r="F38" t="s">
        <v>35</v>
      </c>
      <c r="G38" t="s">
        <v>36</v>
      </c>
      <c r="H38" t="s">
        <v>100</v>
      </c>
      <c r="I38" t="s">
        <v>101</v>
      </c>
      <c r="J38" t="s">
        <v>47</v>
      </c>
      <c r="K38" t="s">
        <v>60</v>
      </c>
      <c r="L38" t="s">
        <v>69</v>
      </c>
      <c r="M38">
        <v>25</v>
      </c>
      <c r="N38">
        <v>29.99</v>
      </c>
      <c r="O38">
        <v>749.75</v>
      </c>
      <c r="P38">
        <v>0.08</v>
      </c>
      <c r="Q38">
        <v>59.98</v>
      </c>
      <c r="R38">
        <v>689.77</v>
      </c>
      <c r="S38">
        <v>55.18</v>
      </c>
      <c r="T38">
        <v>0</v>
      </c>
      <c r="U38" t="s">
        <v>31</v>
      </c>
    </row>
    <row r="39" spans="1:21" x14ac:dyDescent="0.35">
      <c r="A39" t="s">
        <v>140</v>
      </c>
      <c r="B39" s="1">
        <v>44264</v>
      </c>
      <c r="C39">
        <v>2021</v>
      </c>
      <c r="D39" t="s">
        <v>62</v>
      </c>
      <c r="E39" t="s">
        <v>63</v>
      </c>
      <c r="F39" t="s">
        <v>64</v>
      </c>
      <c r="G39" t="s">
        <v>65</v>
      </c>
      <c r="H39" t="s">
        <v>94</v>
      </c>
      <c r="I39" t="s">
        <v>95</v>
      </c>
      <c r="J39" t="s">
        <v>56</v>
      </c>
      <c r="K39" t="s">
        <v>37</v>
      </c>
      <c r="L39" t="s">
        <v>73</v>
      </c>
      <c r="M39">
        <v>13</v>
      </c>
      <c r="N39">
        <v>349.99</v>
      </c>
      <c r="O39">
        <v>4549.87</v>
      </c>
      <c r="P39">
        <v>0.05</v>
      </c>
      <c r="Q39">
        <v>227.49</v>
      </c>
      <c r="R39">
        <v>4322.38</v>
      </c>
      <c r="S39">
        <v>345.79</v>
      </c>
      <c r="T39">
        <v>4668.17</v>
      </c>
      <c r="U39" t="s">
        <v>39</v>
      </c>
    </row>
    <row r="40" spans="1:21" x14ac:dyDescent="0.35">
      <c r="A40" t="s">
        <v>141</v>
      </c>
      <c r="B40" s="1">
        <v>44266</v>
      </c>
      <c r="C40">
        <v>2021</v>
      </c>
      <c r="D40" t="s">
        <v>142</v>
      </c>
      <c r="E40" t="s">
        <v>143</v>
      </c>
      <c r="F40" t="s">
        <v>43</v>
      </c>
      <c r="G40" t="s">
        <v>144</v>
      </c>
      <c r="H40" t="s">
        <v>145</v>
      </c>
      <c r="I40" t="s">
        <v>146</v>
      </c>
      <c r="J40" t="s">
        <v>47</v>
      </c>
      <c r="K40" t="s">
        <v>48</v>
      </c>
      <c r="L40" t="s">
        <v>30</v>
      </c>
      <c r="M40">
        <v>29</v>
      </c>
      <c r="N40">
        <v>129.99</v>
      </c>
      <c r="O40">
        <v>3769.71</v>
      </c>
      <c r="P40">
        <v>0.08</v>
      </c>
      <c r="Q40">
        <v>301.58</v>
      </c>
      <c r="R40">
        <v>3468.13</v>
      </c>
      <c r="S40">
        <v>277.45</v>
      </c>
      <c r="T40">
        <v>3745.58</v>
      </c>
      <c r="U40" t="s">
        <v>111</v>
      </c>
    </row>
    <row r="41" spans="1:21" x14ac:dyDescent="0.35">
      <c r="A41" t="s">
        <v>147</v>
      </c>
      <c r="B41" s="1">
        <v>44269</v>
      </c>
      <c r="C41">
        <v>2021</v>
      </c>
      <c r="D41" t="s">
        <v>148</v>
      </c>
      <c r="E41" t="s">
        <v>149</v>
      </c>
      <c r="F41" t="s">
        <v>43</v>
      </c>
      <c r="G41" t="s">
        <v>150</v>
      </c>
      <c r="H41" t="s">
        <v>78</v>
      </c>
      <c r="I41" t="s">
        <v>79</v>
      </c>
      <c r="J41" t="s">
        <v>28</v>
      </c>
      <c r="K41" t="s">
        <v>37</v>
      </c>
      <c r="L41" t="s">
        <v>69</v>
      </c>
      <c r="M41">
        <v>3</v>
      </c>
      <c r="N41">
        <v>5.99</v>
      </c>
      <c r="O41">
        <v>17.97</v>
      </c>
      <c r="P41">
        <v>0</v>
      </c>
      <c r="Q41">
        <v>0</v>
      </c>
      <c r="R41">
        <v>17.97</v>
      </c>
      <c r="S41">
        <v>1.44</v>
      </c>
      <c r="T41">
        <v>19.41</v>
      </c>
      <c r="U41" t="s">
        <v>39</v>
      </c>
    </row>
    <row r="42" spans="1:21" x14ac:dyDescent="0.35">
      <c r="A42" t="s">
        <v>151</v>
      </c>
      <c r="B42" s="1">
        <v>44271</v>
      </c>
      <c r="C42">
        <v>2021</v>
      </c>
      <c r="D42" t="s">
        <v>41</v>
      </c>
      <c r="E42" t="s">
        <v>42</v>
      </c>
      <c r="F42" t="s">
        <v>43</v>
      </c>
      <c r="G42" t="s">
        <v>44</v>
      </c>
      <c r="H42" t="s">
        <v>104</v>
      </c>
      <c r="I42" t="s">
        <v>105</v>
      </c>
      <c r="J42" t="s">
        <v>47</v>
      </c>
      <c r="K42" t="s">
        <v>60</v>
      </c>
      <c r="L42" t="s">
        <v>73</v>
      </c>
      <c r="M42">
        <v>18</v>
      </c>
      <c r="N42">
        <v>479.99</v>
      </c>
      <c r="O42">
        <v>8639.82</v>
      </c>
      <c r="P42">
        <v>0.05</v>
      </c>
      <c r="Q42">
        <v>431.99</v>
      </c>
      <c r="R42">
        <v>8207.83</v>
      </c>
      <c r="S42">
        <v>656.63</v>
      </c>
      <c r="T42">
        <v>8864.4599999999991</v>
      </c>
      <c r="U42" t="s">
        <v>39</v>
      </c>
    </row>
    <row r="43" spans="1:21" x14ac:dyDescent="0.35">
      <c r="A43" t="s">
        <v>152</v>
      </c>
      <c r="B43" s="1">
        <v>44272</v>
      </c>
      <c r="C43">
        <v>2021</v>
      </c>
      <c r="D43" t="s">
        <v>142</v>
      </c>
      <c r="E43" t="s">
        <v>143</v>
      </c>
      <c r="F43" t="s">
        <v>43</v>
      </c>
      <c r="G43" t="s">
        <v>144</v>
      </c>
      <c r="H43" t="s">
        <v>45</v>
      </c>
      <c r="I43" t="s">
        <v>46</v>
      </c>
      <c r="J43" t="s">
        <v>47</v>
      </c>
      <c r="K43" t="s">
        <v>60</v>
      </c>
      <c r="L43" t="s">
        <v>38</v>
      </c>
      <c r="M43">
        <v>8</v>
      </c>
      <c r="N43">
        <v>89.99</v>
      </c>
      <c r="O43">
        <v>719.92</v>
      </c>
      <c r="P43">
        <v>0.08</v>
      </c>
      <c r="Q43">
        <v>57.59</v>
      </c>
      <c r="R43">
        <v>662.33</v>
      </c>
      <c r="S43">
        <v>52.99</v>
      </c>
      <c r="T43">
        <v>715.32</v>
      </c>
      <c r="U43" t="s">
        <v>39</v>
      </c>
    </row>
    <row r="44" spans="1:21" x14ac:dyDescent="0.35">
      <c r="A44" t="s">
        <v>153</v>
      </c>
      <c r="B44" s="1">
        <v>44275</v>
      </c>
      <c r="C44">
        <v>2021</v>
      </c>
      <c r="D44" t="s">
        <v>62</v>
      </c>
      <c r="E44" t="s">
        <v>63</v>
      </c>
      <c r="F44" t="s">
        <v>64</v>
      </c>
      <c r="G44" t="s">
        <v>65</v>
      </c>
      <c r="H44" t="s">
        <v>104</v>
      </c>
      <c r="I44" t="s">
        <v>105</v>
      </c>
      <c r="J44" t="s">
        <v>47</v>
      </c>
      <c r="K44" t="s">
        <v>37</v>
      </c>
      <c r="L44" t="s">
        <v>30</v>
      </c>
      <c r="M44">
        <v>7</v>
      </c>
      <c r="N44">
        <v>479.99</v>
      </c>
      <c r="O44">
        <v>3359.93</v>
      </c>
      <c r="P44">
        <v>0</v>
      </c>
      <c r="Q44">
        <v>0</v>
      </c>
      <c r="R44">
        <v>3359.93</v>
      </c>
      <c r="S44">
        <v>268.79000000000002</v>
      </c>
      <c r="T44">
        <v>0</v>
      </c>
      <c r="U44" t="s">
        <v>31</v>
      </c>
    </row>
    <row r="45" spans="1:21" x14ac:dyDescent="0.35">
      <c r="A45" t="s">
        <v>154</v>
      </c>
      <c r="B45" s="1">
        <v>44275</v>
      </c>
      <c r="C45">
        <v>2021</v>
      </c>
      <c r="D45" t="s">
        <v>107</v>
      </c>
      <c r="E45" t="s">
        <v>108</v>
      </c>
      <c r="F45" t="s">
        <v>35</v>
      </c>
      <c r="G45" t="s">
        <v>109</v>
      </c>
      <c r="H45" t="s">
        <v>104</v>
      </c>
      <c r="I45" t="s">
        <v>105</v>
      </c>
      <c r="J45" t="s">
        <v>47</v>
      </c>
      <c r="K45" t="s">
        <v>68</v>
      </c>
      <c r="L45" t="s">
        <v>38</v>
      </c>
      <c r="M45">
        <v>21</v>
      </c>
      <c r="N45">
        <v>479.99</v>
      </c>
      <c r="O45">
        <v>10079.790000000001</v>
      </c>
      <c r="P45">
        <v>0.16</v>
      </c>
      <c r="Q45">
        <v>1612.77</v>
      </c>
      <c r="R45">
        <v>8467.02</v>
      </c>
      <c r="S45">
        <v>677.36</v>
      </c>
      <c r="T45">
        <v>9144.3799999999992</v>
      </c>
      <c r="U45" t="s">
        <v>39</v>
      </c>
    </row>
    <row r="46" spans="1:21" x14ac:dyDescent="0.35">
      <c r="A46" t="s">
        <v>155</v>
      </c>
      <c r="B46" s="1">
        <v>44276</v>
      </c>
      <c r="C46">
        <v>2021</v>
      </c>
      <c r="D46" t="s">
        <v>33</v>
      </c>
      <c r="E46" t="s">
        <v>34</v>
      </c>
      <c r="F46" t="s">
        <v>35</v>
      </c>
      <c r="G46" t="s">
        <v>36</v>
      </c>
      <c r="H46" t="s">
        <v>84</v>
      </c>
      <c r="I46" t="s">
        <v>85</v>
      </c>
      <c r="J46" t="s">
        <v>47</v>
      </c>
      <c r="K46" t="s">
        <v>37</v>
      </c>
      <c r="L46" t="s">
        <v>30</v>
      </c>
      <c r="M46">
        <v>20</v>
      </c>
      <c r="N46">
        <v>249.99</v>
      </c>
      <c r="O46">
        <v>4999.8</v>
      </c>
      <c r="P46">
        <v>0.08</v>
      </c>
      <c r="Q46">
        <v>399.98</v>
      </c>
      <c r="R46">
        <v>4599.82</v>
      </c>
      <c r="S46">
        <v>367.99</v>
      </c>
      <c r="T46">
        <v>4967.8100000000004</v>
      </c>
      <c r="U46" t="s">
        <v>39</v>
      </c>
    </row>
    <row r="47" spans="1:21" x14ac:dyDescent="0.35">
      <c r="A47" t="s">
        <v>156</v>
      </c>
      <c r="B47" s="1">
        <v>44277</v>
      </c>
      <c r="C47">
        <v>2021</v>
      </c>
      <c r="D47" t="s">
        <v>107</v>
      </c>
      <c r="E47" t="s">
        <v>108</v>
      </c>
      <c r="F47" t="s">
        <v>35</v>
      </c>
      <c r="G47" t="s">
        <v>109</v>
      </c>
      <c r="H47" t="s">
        <v>71</v>
      </c>
      <c r="I47" t="s">
        <v>72</v>
      </c>
      <c r="J47" t="s">
        <v>47</v>
      </c>
      <c r="K47" t="s">
        <v>60</v>
      </c>
      <c r="L47" t="s">
        <v>49</v>
      </c>
      <c r="M47">
        <v>18</v>
      </c>
      <c r="N47">
        <v>1199.99</v>
      </c>
      <c r="O47">
        <v>21599.82</v>
      </c>
      <c r="P47">
        <v>0.05</v>
      </c>
      <c r="Q47">
        <v>1079.99</v>
      </c>
      <c r="R47">
        <v>20519.830000000002</v>
      </c>
      <c r="S47">
        <v>1641.59</v>
      </c>
      <c r="T47">
        <v>22161.42</v>
      </c>
      <c r="U47" t="s">
        <v>111</v>
      </c>
    </row>
    <row r="48" spans="1:21" x14ac:dyDescent="0.35">
      <c r="A48" t="s">
        <v>157</v>
      </c>
      <c r="B48" s="1">
        <v>44278</v>
      </c>
      <c r="C48">
        <v>2021</v>
      </c>
      <c r="D48" t="s">
        <v>33</v>
      </c>
      <c r="E48" t="s">
        <v>34</v>
      </c>
      <c r="F48" t="s">
        <v>35</v>
      </c>
      <c r="G48" t="s">
        <v>36</v>
      </c>
      <c r="H48" t="s">
        <v>128</v>
      </c>
      <c r="I48" t="s">
        <v>129</v>
      </c>
      <c r="J48" t="s">
        <v>47</v>
      </c>
      <c r="K48" t="s">
        <v>68</v>
      </c>
      <c r="L48" t="s">
        <v>69</v>
      </c>
      <c r="M48">
        <v>21</v>
      </c>
      <c r="N48">
        <v>399.99</v>
      </c>
      <c r="O48">
        <v>8399.7900000000009</v>
      </c>
      <c r="P48">
        <v>0.08</v>
      </c>
      <c r="Q48">
        <v>671.98</v>
      </c>
      <c r="R48">
        <v>7727.81</v>
      </c>
      <c r="S48">
        <v>618.22</v>
      </c>
      <c r="T48">
        <v>8346.0300000000007</v>
      </c>
      <c r="U48" t="s">
        <v>39</v>
      </c>
    </row>
    <row r="49" spans="1:21" x14ac:dyDescent="0.35">
      <c r="A49" t="s">
        <v>158</v>
      </c>
      <c r="B49" s="1">
        <v>44278</v>
      </c>
      <c r="C49">
        <v>2021</v>
      </c>
      <c r="D49" t="s">
        <v>148</v>
      </c>
      <c r="E49" t="s">
        <v>149</v>
      </c>
      <c r="F49" t="s">
        <v>43</v>
      </c>
      <c r="G49" t="s">
        <v>150</v>
      </c>
      <c r="H49" t="s">
        <v>45</v>
      </c>
      <c r="I49" t="s">
        <v>46</v>
      </c>
      <c r="J49" t="s">
        <v>47</v>
      </c>
      <c r="K49" t="s">
        <v>48</v>
      </c>
      <c r="L49" t="s">
        <v>38</v>
      </c>
      <c r="M49">
        <v>15</v>
      </c>
      <c r="N49">
        <v>89.99</v>
      </c>
      <c r="O49">
        <v>1349.85</v>
      </c>
      <c r="P49">
        <v>0.13</v>
      </c>
      <c r="Q49">
        <v>175.48</v>
      </c>
      <c r="R49">
        <v>1174.3699999999999</v>
      </c>
      <c r="S49">
        <v>93.95</v>
      </c>
      <c r="T49">
        <v>0</v>
      </c>
      <c r="U49" t="s">
        <v>31</v>
      </c>
    </row>
    <row r="50" spans="1:21" x14ac:dyDescent="0.35">
      <c r="A50" t="s">
        <v>159</v>
      </c>
      <c r="B50" s="1">
        <v>44278</v>
      </c>
      <c r="C50">
        <v>2021</v>
      </c>
      <c r="D50" t="s">
        <v>33</v>
      </c>
      <c r="E50" t="s">
        <v>34</v>
      </c>
      <c r="F50" t="s">
        <v>35</v>
      </c>
      <c r="G50" t="s">
        <v>36</v>
      </c>
      <c r="H50" t="s">
        <v>128</v>
      </c>
      <c r="I50" t="s">
        <v>129</v>
      </c>
      <c r="J50" t="s">
        <v>47</v>
      </c>
      <c r="K50" t="s">
        <v>68</v>
      </c>
      <c r="L50" t="s">
        <v>30</v>
      </c>
      <c r="M50">
        <v>23</v>
      </c>
      <c r="N50">
        <v>399.99</v>
      </c>
      <c r="O50">
        <v>9199.77</v>
      </c>
      <c r="P50">
        <v>0.08</v>
      </c>
      <c r="Q50">
        <v>735.98</v>
      </c>
      <c r="R50">
        <v>8463.7900000000009</v>
      </c>
      <c r="S50">
        <v>677.1</v>
      </c>
      <c r="T50">
        <v>9140.89</v>
      </c>
      <c r="U50" t="s">
        <v>39</v>
      </c>
    </row>
    <row r="51" spans="1:21" x14ac:dyDescent="0.35">
      <c r="A51" t="s">
        <v>160</v>
      </c>
      <c r="B51" s="1">
        <v>44279</v>
      </c>
      <c r="C51">
        <v>2021</v>
      </c>
      <c r="D51" t="s">
        <v>91</v>
      </c>
      <c r="E51" t="s">
        <v>92</v>
      </c>
      <c r="F51" t="s">
        <v>24</v>
      </c>
      <c r="G51" t="s">
        <v>93</v>
      </c>
      <c r="H51" t="s">
        <v>71</v>
      </c>
      <c r="I51" t="s">
        <v>72</v>
      </c>
      <c r="J51" t="s">
        <v>47</v>
      </c>
      <c r="K51" t="s">
        <v>37</v>
      </c>
      <c r="L51" t="s">
        <v>73</v>
      </c>
      <c r="M51">
        <v>9</v>
      </c>
      <c r="N51">
        <v>1199.99</v>
      </c>
      <c r="O51">
        <v>10799.91</v>
      </c>
      <c r="P51">
        <v>0</v>
      </c>
      <c r="Q51">
        <v>0</v>
      </c>
      <c r="R51">
        <v>10799.91</v>
      </c>
      <c r="S51">
        <v>863.99</v>
      </c>
      <c r="T51">
        <v>11663.9</v>
      </c>
      <c r="U51" t="s">
        <v>111</v>
      </c>
    </row>
    <row r="52" spans="1:21" x14ac:dyDescent="0.35">
      <c r="A52" t="s">
        <v>161</v>
      </c>
      <c r="B52" s="1">
        <v>44286</v>
      </c>
      <c r="C52">
        <v>2021</v>
      </c>
      <c r="D52" t="s">
        <v>91</v>
      </c>
      <c r="E52" t="s">
        <v>92</v>
      </c>
      <c r="F52" t="s">
        <v>24</v>
      </c>
      <c r="G52" t="s">
        <v>93</v>
      </c>
      <c r="H52" t="s">
        <v>45</v>
      </c>
      <c r="I52" t="s">
        <v>46</v>
      </c>
      <c r="J52" t="s">
        <v>47</v>
      </c>
      <c r="K52" t="s">
        <v>37</v>
      </c>
      <c r="L52" t="s">
        <v>30</v>
      </c>
      <c r="M52">
        <v>25</v>
      </c>
      <c r="N52">
        <v>89.99</v>
      </c>
      <c r="O52">
        <v>2249.75</v>
      </c>
      <c r="P52">
        <v>0.08</v>
      </c>
      <c r="Q52">
        <v>179.98</v>
      </c>
      <c r="R52">
        <v>2069.77</v>
      </c>
      <c r="S52">
        <v>165.58</v>
      </c>
      <c r="T52">
        <v>2235.35</v>
      </c>
      <c r="U52" t="s">
        <v>39</v>
      </c>
    </row>
    <row r="53" spans="1:21" x14ac:dyDescent="0.35">
      <c r="A53" t="s">
        <v>162</v>
      </c>
      <c r="B53" s="1">
        <v>44287</v>
      </c>
      <c r="C53">
        <v>2021</v>
      </c>
      <c r="D53" t="s">
        <v>81</v>
      </c>
      <c r="E53" t="s">
        <v>82</v>
      </c>
      <c r="F53" t="s">
        <v>35</v>
      </c>
      <c r="G53" t="s">
        <v>83</v>
      </c>
      <c r="H53" t="s">
        <v>84</v>
      </c>
      <c r="I53" t="s">
        <v>85</v>
      </c>
      <c r="J53" t="s">
        <v>47</v>
      </c>
      <c r="K53" t="s">
        <v>68</v>
      </c>
      <c r="L53" t="s">
        <v>69</v>
      </c>
      <c r="M53">
        <v>8</v>
      </c>
      <c r="N53">
        <v>249.99</v>
      </c>
      <c r="O53">
        <v>1999.92</v>
      </c>
      <c r="P53">
        <v>0</v>
      </c>
      <c r="Q53">
        <v>0</v>
      </c>
      <c r="R53">
        <v>1999.92</v>
      </c>
      <c r="S53">
        <v>159.99</v>
      </c>
      <c r="T53">
        <v>2159.91</v>
      </c>
      <c r="U53" t="s">
        <v>39</v>
      </c>
    </row>
    <row r="54" spans="1:21" x14ac:dyDescent="0.35">
      <c r="A54" t="s">
        <v>163</v>
      </c>
      <c r="B54" s="1">
        <v>44291</v>
      </c>
      <c r="C54">
        <v>2021</v>
      </c>
      <c r="D54" t="s">
        <v>51</v>
      </c>
      <c r="E54" t="s">
        <v>52</v>
      </c>
      <c r="F54" t="s">
        <v>24</v>
      </c>
      <c r="G54" t="s">
        <v>53</v>
      </c>
      <c r="H54" t="s">
        <v>45</v>
      </c>
      <c r="I54" t="s">
        <v>46</v>
      </c>
      <c r="J54" t="s">
        <v>47</v>
      </c>
      <c r="K54" t="s">
        <v>60</v>
      </c>
      <c r="L54" t="s">
        <v>38</v>
      </c>
      <c r="M54">
        <v>11</v>
      </c>
      <c r="N54">
        <v>89.99</v>
      </c>
      <c r="O54">
        <v>989.89</v>
      </c>
      <c r="P54">
        <v>0.13</v>
      </c>
      <c r="Q54">
        <v>128.69</v>
      </c>
      <c r="R54">
        <v>861.2</v>
      </c>
      <c r="S54">
        <v>68.900000000000006</v>
      </c>
      <c r="T54">
        <v>930.1</v>
      </c>
      <c r="U54" t="s">
        <v>39</v>
      </c>
    </row>
    <row r="55" spans="1:21" x14ac:dyDescent="0.35">
      <c r="A55" t="s">
        <v>164</v>
      </c>
      <c r="B55" s="1">
        <v>44293</v>
      </c>
      <c r="C55">
        <v>2021</v>
      </c>
      <c r="D55" t="s">
        <v>91</v>
      </c>
      <c r="E55" t="s">
        <v>92</v>
      </c>
      <c r="F55" t="s">
        <v>24</v>
      </c>
      <c r="G55" t="s">
        <v>93</v>
      </c>
      <c r="H55" t="s">
        <v>104</v>
      </c>
      <c r="I55" t="s">
        <v>105</v>
      </c>
      <c r="J55" t="s">
        <v>47</v>
      </c>
      <c r="K55" t="s">
        <v>48</v>
      </c>
      <c r="L55" t="s">
        <v>38</v>
      </c>
      <c r="M55">
        <v>2</v>
      </c>
      <c r="N55">
        <v>479.99</v>
      </c>
      <c r="O55">
        <v>959.98</v>
      </c>
      <c r="P55">
        <v>0.08</v>
      </c>
      <c r="Q55">
        <v>76.8</v>
      </c>
      <c r="R55">
        <v>883.18</v>
      </c>
      <c r="S55">
        <v>70.650000000000006</v>
      </c>
      <c r="T55">
        <v>953.83</v>
      </c>
      <c r="U55" t="s">
        <v>39</v>
      </c>
    </row>
    <row r="56" spans="1:21" x14ac:dyDescent="0.35">
      <c r="A56" t="s">
        <v>165</v>
      </c>
      <c r="B56" s="1">
        <v>44294</v>
      </c>
      <c r="C56">
        <v>2021</v>
      </c>
      <c r="D56" t="s">
        <v>107</v>
      </c>
      <c r="E56" t="s">
        <v>108</v>
      </c>
      <c r="F56" t="s">
        <v>35</v>
      </c>
      <c r="G56" t="s">
        <v>109</v>
      </c>
      <c r="H56" t="s">
        <v>78</v>
      </c>
      <c r="I56" t="s">
        <v>79</v>
      </c>
      <c r="J56" t="s">
        <v>28</v>
      </c>
      <c r="K56" t="s">
        <v>37</v>
      </c>
      <c r="L56" t="s">
        <v>30</v>
      </c>
      <c r="M56">
        <v>17</v>
      </c>
      <c r="N56">
        <v>5.99</v>
      </c>
      <c r="O56">
        <v>101.83</v>
      </c>
      <c r="P56">
        <v>0.05</v>
      </c>
      <c r="Q56">
        <v>5.09</v>
      </c>
      <c r="R56">
        <v>96.74</v>
      </c>
      <c r="S56">
        <v>7.74</v>
      </c>
      <c r="T56">
        <v>104.48</v>
      </c>
      <c r="U56" t="s">
        <v>39</v>
      </c>
    </row>
    <row r="57" spans="1:21" x14ac:dyDescent="0.35">
      <c r="A57" t="s">
        <v>166</v>
      </c>
      <c r="B57" s="1">
        <v>44304</v>
      </c>
      <c r="C57">
        <v>2021</v>
      </c>
      <c r="D57" t="s">
        <v>87</v>
      </c>
      <c r="E57" t="s">
        <v>88</v>
      </c>
      <c r="F57" t="s">
        <v>24</v>
      </c>
      <c r="G57" t="s">
        <v>89</v>
      </c>
      <c r="H57" t="s">
        <v>78</v>
      </c>
      <c r="I57" t="s">
        <v>79</v>
      </c>
      <c r="J57" t="s">
        <v>28</v>
      </c>
      <c r="K57" t="s">
        <v>29</v>
      </c>
      <c r="L57" t="s">
        <v>49</v>
      </c>
      <c r="M57">
        <v>20</v>
      </c>
      <c r="N57">
        <v>5.99</v>
      </c>
      <c r="O57">
        <v>119.8</v>
      </c>
      <c r="P57">
        <v>0.08</v>
      </c>
      <c r="Q57">
        <v>9.58</v>
      </c>
      <c r="R57">
        <v>110.22</v>
      </c>
      <c r="S57">
        <v>8.82</v>
      </c>
      <c r="T57">
        <v>119.04</v>
      </c>
      <c r="U57" t="s">
        <v>39</v>
      </c>
    </row>
    <row r="58" spans="1:21" x14ac:dyDescent="0.35">
      <c r="A58" t="s">
        <v>167</v>
      </c>
      <c r="B58" s="1">
        <v>44305</v>
      </c>
      <c r="C58">
        <v>2021</v>
      </c>
      <c r="D58" t="s">
        <v>91</v>
      </c>
      <c r="E58" t="s">
        <v>92</v>
      </c>
      <c r="F58" t="s">
        <v>24</v>
      </c>
      <c r="G58" t="s">
        <v>93</v>
      </c>
      <c r="H58" t="s">
        <v>26</v>
      </c>
      <c r="I58" t="s">
        <v>27</v>
      </c>
      <c r="J58" t="s">
        <v>28</v>
      </c>
      <c r="K58" t="s">
        <v>60</v>
      </c>
      <c r="L58" t="s">
        <v>49</v>
      </c>
      <c r="M58">
        <v>16</v>
      </c>
      <c r="N58">
        <v>8.99</v>
      </c>
      <c r="O58">
        <v>143.84</v>
      </c>
      <c r="P58">
        <v>0.05</v>
      </c>
      <c r="Q58">
        <v>7.19</v>
      </c>
      <c r="R58">
        <v>136.65</v>
      </c>
      <c r="S58">
        <v>10.93</v>
      </c>
      <c r="T58">
        <v>147.58000000000001</v>
      </c>
      <c r="U58" t="s">
        <v>39</v>
      </c>
    </row>
    <row r="59" spans="1:21" x14ac:dyDescent="0.35">
      <c r="A59" t="s">
        <v>168</v>
      </c>
      <c r="B59" s="1">
        <v>44305</v>
      </c>
      <c r="C59">
        <v>2021</v>
      </c>
      <c r="D59" t="s">
        <v>91</v>
      </c>
      <c r="E59" t="s">
        <v>92</v>
      </c>
      <c r="F59" t="s">
        <v>24</v>
      </c>
      <c r="G59" t="s">
        <v>93</v>
      </c>
      <c r="H59" t="s">
        <v>45</v>
      </c>
      <c r="I59" t="s">
        <v>46</v>
      </c>
      <c r="J59" t="s">
        <v>47</v>
      </c>
      <c r="K59" t="s">
        <v>48</v>
      </c>
      <c r="L59" t="s">
        <v>69</v>
      </c>
      <c r="M59">
        <v>21</v>
      </c>
      <c r="N59">
        <v>89.99</v>
      </c>
      <c r="O59">
        <v>1889.79</v>
      </c>
      <c r="P59">
        <v>0.08</v>
      </c>
      <c r="Q59">
        <v>151.18</v>
      </c>
      <c r="R59">
        <v>1738.61</v>
      </c>
      <c r="S59">
        <v>139.09</v>
      </c>
      <c r="T59">
        <v>1877.7</v>
      </c>
      <c r="U59" t="s">
        <v>39</v>
      </c>
    </row>
    <row r="60" spans="1:21" x14ac:dyDescent="0.35">
      <c r="A60" t="s">
        <v>169</v>
      </c>
      <c r="B60" s="1">
        <v>44312</v>
      </c>
      <c r="C60">
        <v>2021</v>
      </c>
      <c r="D60" t="s">
        <v>107</v>
      </c>
      <c r="E60" t="s">
        <v>108</v>
      </c>
      <c r="F60" t="s">
        <v>35</v>
      </c>
      <c r="G60" t="s">
        <v>109</v>
      </c>
      <c r="H60" t="s">
        <v>128</v>
      </c>
      <c r="I60" t="s">
        <v>129</v>
      </c>
      <c r="J60" t="s">
        <v>47</v>
      </c>
      <c r="K60" t="s">
        <v>48</v>
      </c>
      <c r="L60" t="s">
        <v>38</v>
      </c>
      <c r="M60">
        <v>8</v>
      </c>
      <c r="N60">
        <v>399.99</v>
      </c>
      <c r="O60">
        <v>3199.92</v>
      </c>
      <c r="P60">
        <v>0.08</v>
      </c>
      <c r="Q60">
        <v>255.99</v>
      </c>
      <c r="R60">
        <v>2943.93</v>
      </c>
      <c r="S60">
        <v>235.51</v>
      </c>
      <c r="T60">
        <v>3179.44</v>
      </c>
      <c r="U60" t="s">
        <v>39</v>
      </c>
    </row>
    <row r="61" spans="1:21" x14ac:dyDescent="0.35">
      <c r="A61" t="s">
        <v>170</v>
      </c>
      <c r="B61" s="1">
        <v>44312</v>
      </c>
      <c r="C61">
        <v>2021</v>
      </c>
      <c r="D61" t="s">
        <v>87</v>
      </c>
      <c r="E61" t="s">
        <v>88</v>
      </c>
      <c r="F61" t="s">
        <v>24</v>
      </c>
      <c r="G61" t="s">
        <v>89</v>
      </c>
      <c r="H61" t="s">
        <v>58</v>
      </c>
      <c r="I61" t="s">
        <v>59</v>
      </c>
      <c r="J61" t="s">
        <v>56</v>
      </c>
      <c r="K61" t="s">
        <v>68</v>
      </c>
      <c r="L61" t="s">
        <v>30</v>
      </c>
      <c r="M61">
        <v>3</v>
      </c>
      <c r="N61">
        <v>599.99</v>
      </c>
      <c r="O61">
        <v>1799.97</v>
      </c>
      <c r="P61">
        <v>0</v>
      </c>
      <c r="Q61">
        <v>0</v>
      </c>
      <c r="R61">
        <v>1799.97</v>
      </c>
      <c r="S61">
        <v>144</v>
      </c>
      <c r="T61">
        <v>1943.97</v>
      </c>
      <c r="U61" t="s">
        <v>39</v>
      </c>
    </row>
    <row r="62" spans="1:21" x14ac:dyDescent="0.35">
      <c r="A62" t="s">
        <v>171</v>
      </c>
      <c r="B62" s="1">
        <v>44313</v>
      </c>
      <c r="C62">
        <v>2021</v>
      </c>
      <c r="D62" t="s">
        <v>142</v>
      </c>
      <c r="E62" t="s">
        <v>143</v>
      </c>
      <c r="F62" t="s">
        <v>43</v>
      </c>
      <c r="G62" t="s">
        <v>144</v>
      </c>
      <c r="H62" t="s">
        <v>94</v>
      </c>
      <c r="I62" t="s">
        <v>95</v>
      </c>
      <c r="J62" t="s">
        <v>56</v>
      </c>
      <c r="K62" t="s">
        <v>60</v>
      </c>
      <c r="L62" t="s">
        <v>49</v>
      </c>
      <c r="M62">
        <v>27</v>
      </c>
      <c r="N62">
        <v>349.99</v>
      </c>
      <c r="O62">
        <v>9449.73</v>
      </c>
      <c r="P62">
        <v>0.08</v>
      </c>
      <c r="Q62">
        <v>755.98</v>
      </c>
      <c r="R62">
        <v>8693.75</v>
      </c>
      <c r="S62">
        <v>695.5</v>
      </c>
      <c r="T62">
        <v>9389.25</v>
      </c>
      <c r="U62" t="s">
        <v>39</v>
      </c>
    </row>
    <row r="63" spans="1:21" x14ac:dyDescent="0.35">
      <c r="A63" t="s">
        <v>172</v>
      </c>
      <c r="B63" s="1">
        <v>44315</v>
      </c>
      <c r="C63">
        <v>2021</v>
      </c>
      <c r="D63" t="s">
        <v>107</v>
      </c>
      <c r="E63" t="s">
        <v>108</v>
      </c>
      <c r="F63" t="s">
        <v>35</v>
      </c>
      <c r="G63" t="s">
        <v>109</v>
      </c>
      <c r="H63" t="s">
        <v>26</v>
      </c>
      <c r="I63" t="s">
        <v>27</v>
      </c>
      <c r="J63" t="s">
        <v>28</v>
      </c>
      <c r="K63" t="s">
        <v>48</v>
      </c>
      <c r="L63" t="s">
        <v>69</v>
      </c>
      <c r="M63">
        <v>5</v>
      </c>
      <c r="N63">
        <v>8.99</v>
      </c>
      <c r="O63">
        <v>44.95</v>
      </c>
      <c r="P63">
        <v>0</v>
      </c>
      <c r="Q63">
        <v>0</v>
      </c>
      <c r="R63">
        <v>44.95</v>
      </c>
      <c r="S63">
        <v>3.6</v>
      </c>
      <c r="T63">
        <v>48.55</v>
      </c>
      <c r="U63" t="s">
        <v>39</v>
      </c>
    </row>
    <row r="64" spans="1:21" x14ac:dyDescent="0.35">
      <c r="A64" t="s">
        <v>173</v>
      </c>
      <c r="B64" s="1">
        <v>44315</v>
      </c>
      <c r="C64">
        <v>2021</v>
      </c>
      <c r="D64" t="s">
        <v>97</v>
      </c>
      <c r="E64" t="s">
        <v>98</v>
      </c>
      <c r="F64" t="s">
        <v>35</v>
      </c>
      <c r="G64" t="s">
        <v>99</v>
      </c>
      <c r="H64" t="s">
        <v>26</v>
      </c>
      <c r="I64" t="s">
        <v>27</v>
      </c>
      <c r="J64" t="s">
        <v>28</v>
      </c>
      <c r="K64" t="s">
        <v>60</v>
      </c>
      <c r="L64" t="s">
        <v>49</v>
      </c>
      <c r="M64">
        <v>9</v>
      </c>
      <c r="N64">
        <v>8.99</v>
      </c>
      <c r="O64">
        <v>80.91</v>
      </c>
      <c r="P64">
        <v>0</v>
      </c>
      <c r="Q64">
        <v>0</v>
      </c>
      <c r="R64">
        <v>80.91</v>
      </c>
      <c r="S64">
        <v>6.47</v>
      </c>
      <c r="T64">
        <v>87.38</v>
      </c>
      <c r="U64" t="s">
        <v>39</v>
      </c>
    </row>
    <row r="65" spans="1:21" x14ac:dyDescent="0.35">
      <c r="A65" t="s">
        <v>174</v>
      </c>
      <c r="B65" s="1">
        <v>44316</v>
      </c>
      <c r="C65">
        <v>2021</v>
      </c>
      <c r="D65" t="s">
        <v>91</v>
      </c>
      <c r="E65" t="s">
        <v>92</v>
      </c>
      <c r="F65" t="s">
        <v>24</v>
      </c>
      <c r="G65" t="s">
        <v>93</v>
      </c>
      <c r="H65" t="s">
        <v>100</v>
      </c>
      <c r="I65" t="s">
        <v>101</v>
      </c>
      <c r="J65" t="s">
        <v>47</v>
      </c>
      <c r="K65" t="s">
        <v>29</v>
      </c>
      <c r="L65" t="s">
        <v>49</v>
      </c>
      <c r="M65">
        <v>28</v>
      </c>
      <c r="N65">
        <v>29.99</v>
      </c>
      <c r="O65">
        <v>839.72</v>
      </c>
      <c r="P65">
        <v>0.08</v>
      </c>
      <c r="Q65">
        <v>67.180000000000007</v>
      </c>
      <c r="R65">
        <v>772.54</v>
      </c>
      <c r="S65">
        <v>61.8</v>
      </c>
      <c r="T65">
        <v>834.34</v>
      </c>
      <c r="U65" t="s">
        <v>39</v>
      </c>
    </row>
    <row r="66" spans="1:21" x14ac:dyDescent="0.35">
      <c r="A66" t="s">
        <v>175</v>
      </c>
      <c r="B66" s="1">
        <v>44317</v>
      </c>
      <c r="C66">
        <v>2021</v>
      </c>
      <c r="D66" t="s">
        <v>51</v>
      </c>
      <c r="E66" t="s">
        <v>52</v>
      </c>
      <c r="F66" t="s">
        <v>24</v>
      </c>
      <c r="G66" t="s">
        <v>53</v>
      </c>
      <c r="H66" t="s">
        <v>100</v>
      </c>
      <c r="I66" t="s">
        <v>101</v>
      </c>
      <c r="J66" t="s">
        <v>47</v>
      </c>
      <c r="K66" t="s">
        <v>48</v>
      </c>
      <c r="L66" t="s">
        <v>30</v>
      </c>
      <c r="M66">
        <v>3</v>
      </c>
      <c r="N66">
        <v>29.99</v>
      </c>
      <c r="O66">
        <v>89.97</v>
      </c>
      <c r="P66">
        <v>0</v>
      </c>
      <c r="Q66">
        <v>0</v>
      </c>
      <c r="R66">
        <v>89.97</v>
      </c>
      <c r="S66">
        <v>7.2</v>
      </c>
      <c r="T66">
        <v>97.17</v>
      </c>
      <c r="U66" t="s">
        <v>39</v>
      </c>
    </row>
    <row r="67" spans="1:21" x14ac:dyDescent="0.35">
      <c r="A67" t="s">
        <v>176</v>
      </c>
      <c r="B67" s="1">
        <v>44319</v>
      </c>
      <c r="C67">
        <v>2021</v>
      </c>
      <c r="D67" t="s">
        <v>62</v>
      </c>
      <c r="E67" t="s">
        <v>63</v>
      </c>
      <c r="F67" t="s">
        <v>64</v>
      </c>
      <c r="G67" t="s">
        <v>65</v>
      </c>
      <c r="H67" t="s">
        <v>104</v>
      </c>
      <c r="I67" t="s">
        <v>105</v>
      </c>
      <c r="J67" t="s">
        <v>47</v>
      </c>
      <c r="K67" t="s">
        <v>37</v>
      </c>
      <c r="L67" t="s">
        <v>30</v>
      </c>
      <c r="M67">
        <v>21</v>
      </c>
      <c r="N67">
        <v>479.99</v>
      </c>
      <c r="O67">
        <v>10079.790000000001</v>
      </c>
      <c r="P67">
        <v>0.08</v>
      </c>
      <c r="Q67">
        <v>806.38</v>
      </c>
      <c r="R67">
        <v>9273.41</v>
      </c>
      <c r="S67">
        <v>741.87</v>
      </c>
      <c r="T67">
        <v>10015.280000000001</v>
      </c>
      <c r="U67" t="s">
        <v>39</v>
      </c>
    </row>
    <row r="68" spans="1:21" x14ac:dyDescent="0.35">
      <c r="A68" t="s">
        <v>177</v>
      </c>
      <c r="B68" s="1">
        <v>44320</v>
      </c>
      <c r="C68">
        <v>2021</v>
      </c>
      <c r="D68" t="s">
        <v>142</v>
      </c>
      <c r="E68" t="s">
        <v>143</v>
      </c>
      <c r="F68" t="s">
        <v>43</v>
      </c>
      <c r="G68" t="s">
        <v>144</v>
      </c>
      <c r="H68" t="s">
        <v>100</v>
      </c>
      <c r="I68" t="s">
        <v>101</v>
      </c>
      <c r="J68" t="s">
        <v>47</v>
      </c>
      <c r="K68" t="s">
        <v>60</v>
      </c>
      <c r="L68" t="s">
        <v>38</v>
      </c>
      <c r="M68">
        <v>25</v>
      </c>
      <c r="N68">
        <v>29.99</v>
      </c>
      <c r="O68">
        <v>749.75</v>
      </c>
      <c r="P68">
        <v>0.16</v>
      </c>
      <c r="Q68">
        <v>119.96</v>
      </c>
      <c r="R68">
        <v>629.79</v>
      </c>
      <c r="S68">
        <v>50.38</v>
      </c>
      <c r="T68">
        <v>0</v>
      </c>
      <c r="U68" t="s">
        <v>31</v>
      </c>
    </row>
    <row r="69" spans="1:21" x14ac:dyDescent="0.35">
      <c r="A69" t="s">
        <v>178</v>
      </c>
      <c r="B69" s="1">
        <v>44323</v>
      </c>
      <c r="C69">
        <v>2021</v>
      </c>
      <c r="D69" t="s">
        <v>107</v>
      </c>
      <c r="E69" t="s">
        <v>108</v>
      </c>
      <c r="F69" t="s">
        <v>35</v>
      </c>
      <c r="G69" t="s">
        <v>109</v>
      </c>
      <c r="H69" t="s">
        <v>125</v>
      </c>
      <c r="I69" t="s">
        <v>126</v>
      </c>
      <c r="J69" t="s">
        <v>28</v>
      </c>
      <c r="K69" t="s">
        <v>60</v>
      </c>
      <c r="L69" t="s">
        <v>73</v>
      </c>
      <c r="M69">
        <v>5</v>
      </c>
      <c r="N69">
        <v>79.989999999999995</v>
      </c>
      <c r="O69">
        <v>399.95</v>
      </c>
      <c r="P69">
        <v>0</v>
      </c>
      <c r="Q69">
        <v>0</v>
      </c>
      <c r="R69">
        <v>399.95</v>
      </c>
      <c r="S69">
        <v>32</v>
      </c>
      <c r="T69">
        <v>431.95</v>
      </c>
      <c r="U69" t="s">
        <v>39</v>
      </c>
    </row>
    <row r="70" spans="1:21" x14ac:dyDescent="0.35">
      <c r="A70" t="s">
        <v>179</v>
      </c>
      <c r="B70" s="1">
        <v>44323</v>
      </c>
      <c r="C70">
        <v>2021</v>
      </c>
      <c r="D70" t="s">
        <v>148</v>
      </c>
      <c r="E70" t="s">
        <v>149</v>
      </c>
      <c r="F70" t="s">
        <v>43</v>
      </c>
      <c r="G70" t="s">
        <v>150</v>
      </c>
      <c r="H70" t="s">
        <v>78</v>
      </c>
      <c r="I70" t="s">
        <v>79</v>
      </c>
      <c r="J70" t="s">
        <v>28</v>
      </c>
      <c r="K70" t="s">
        <v>60</v>
      </c>
      <c r="L70" t="s">
        <v>38</v>
      </c>
      <c r="M70">
        <v>25</v>
      </c>
      <c r="N70">
        <v>5.99</v>
      </c>
      <c r="O70">
        <v>149.75</v>
      </c>
      <c r="P70">
        <v>0.16</v>
      </c>
      <c r="Q70">
        <v>23.96</v>
      </c>
      <c r="R70">
        <v>125.79</v>
      </c>
      <c r="S70">
        <v>10.06</v>
      </c>
      <c r="T70">
        <v>135.85</v>
      </c>
      <c r="U70" t="s">
        <v>39</v>
      </c>
    </row>
    <row r="71" spans="1:21" x14ac:dyDescent="0.35">
      <c r="A71" t="s">
        <v>180</v>
      </c>
      <c r="B71" s="1">
        <v>44324</v>
      </c>
      <c r="C71">
        <v>2021</v>
      </c>
      <c r="D71" t="s">
        <v>75</v>
      </c>
      <c r="E71" t="s">
        <v>76</v>
      </c>
      <c r="F71" t="s">
        <v>64</v>
      </c>
      <c r="G71" t="s">
        <v>77</v>
      </c>
      <c r="H71" t="s">
        <v>128</v>
      </c>
      <c r="I71" t="s">
        <v>129</v>
      </c>
      <c r="J71" t="s">
        <v>47</v>
      </c>
      <c r="K71" t="s">
        <v>60</v>
      </c>
      <c r="L71" t="s">
        <v>73</v>
      </c>
      <c r="M71">
        <v>15</v>
      </c>
      <c r="N71">
        <v>399.99</v>
      </c>
      <c r="O71">
        <v>5999.85</v>
      </c>
      <c r="P71">
        <v>0.05</v>
      </c>
      <c r="Q71">
        <v>299.99</v>
      </c>
      <c r="R71">
        <v>5699.86</v>
      </c>
      <c r="S71">
        <v>455.99</v>
      </c>
      <c r="T71">
        <v>6155.85</v>
      </c>
      <c r="U71" t="s">
        <v>39</v>
      </c>
    </row>
    <row r="72" spans="1:21" x14ac:dyDescent="0.35">
      <c r="A72" t="s">
        <v>181</v>
      </c>
      <c r="B72" s="1">
        <v>44324</v>
      </c>
      <c r="C72">
        <v>2021</v>
      </c>
      <c r="D72" t="s">
        <v>107</v>
      </c>
      <c r="E72" t="s">
        <v>108</v>
      </c>
      <c r="F72" t="s">
        <v>35</v>
      </c>
      <c r="G72" t="s">
        <v>109</v>
      </c>
      <c r="H72" t="s">
        <v>26</v>
      </c>
      <c r="I72" t="s">
        <v>27</v>
      </c>
      <c r="J72" t="s">
        <v>28</v>
      </c>
      <c r="K72" t="s">
        <v>68</v>
      </c>
      <c r="L72" t="s">
        <v>49</v>
      </c>
      <c r="M72">
        <v>22</v>
      </c>
      <c r="N72">
        <v>8.99</v>
      </c>
      <c r="O72">
        <v>197.78</v>
      </c>
      <c r="P72">
        <v>0.08</v>
      </c>
      <c r="Q72">
        <v>15.82</v>
      </c>
      <c r="R72">
        <v>181.96</v>
      </c>
      <c r="S72">
        <v>14.56</v>
      </c>
      <c r="T72">
        <v>196.52</v>
      </c>
      <c r="U72" t="s">
        <v>39</v>
      </c>
    </row>
    <row r="73" spans="1:21" x14ac:dyDescent="0.35">
      <c r="A73" t="s">
        <v>182</v>
      </c>
      <c r="B73" s="1">
        <v>44324</v>
      </c>
      <c r="C73">
        <v>2021</v>
      </c>
      <c r="D73" t="s">
        <v>75</v>
      </c>
      <c r="E73" t="s">
        <v>76</v>
      </c>
      <c r="F73" t="s">
        <v>64</v>
      </c>
      <c r="G73" t="s">
        <v>77</v>
      </c>
      <c r="H73" t="s">
        <v>71</v>
      </c>
      <c r="I73" t="s">
        <v>72</v>
      </c>
      <c r="J73" t="s">
        <v>47</v>
      </c>
      <c r="K73" t="s">
        <v>37</v>
      </c>
      <c r="L73" t="s">
        <v>38</v>
      </c>
      <c r="M73">
        <v>28</v>
      </c>
      <c r="N73">
        <v>1199.99</v>
      </c>
      <c r="O73">
        <v>33599.72</v>
      </c>
      <c r="P73">
        <v>0.16</v>
      </c>
      <c r="Q73">
        <v>5375.96</v>
      </c>
      <c r="R73">
        <v>28223.759999999998</v>
      </c>
      <c r="S73">
        <v>2257.9</v>
      </c>
      <c r="T73">
        <v>30481.66</v>
      </c>
      <c r="U73" t="s">
        <v>111</v>
      </c>
    </row>
    <row r="74" spans="1:21" x14ac:dyDescent="0.35">
      <c r="A74" t="s">
        <v>183</v>
      </c>
      <c r="B74" s="1">
        <v>44324</v>
      </c>
      <c r="C74">
        <v>2021</v>
      </c>
      <c r="D74" t="s">
        <v>81</v>
      </c>
      <c r="E74" t="s">
        <v>82</v>
      </c>
      <c r="F74" t="s">
        <v>35</v>
      </c>
      <c r="G74" t="s">
        <v>83</v>
      </c>
      <c r="H74" t="s">
        <v>66</v>
      </c>
      <c r="I74" t="s">
        <v>67</v>
      </c>
      <c r="J74" t="s">
        <v>56</v>
      </c>
      <c r="K74" t="s">
        <v>48</v>
      </c>
      <c r="L74" t="s">
        <v>38</v>
      </c>
      <c r="M74">
        <v>18</v>
      </c>
      <c r="N74">
        <v>229.99</v>
      </c>
      <c r="O74">
        <v>4139.82</v>
      </c>
      <c r="P74">
        <v>0.13</v>
      </c>
      <c r="Q74">
        <v>538.17999999999995</v>
      </c>
      <c r="R74">
        <v>3601.64</v>
      </c>
      <c r="S74">
        <v>288.13</v>
      </c>
      <c r="T74">
        <v>3889.77</v>
      </c>
      <c r="U74" t="s">
        <v>39</v>
      </c>
    </row>
    <row r="75" spans="1:21" x14ac:dyDescent="0.35">
      <c r="A75" t="s">
        <v>184</v>
      </c>
      <c r="B75" s="1">
        <v>44325</v>
      </c>
      <c r="C75">
        <v>2021</v>
      </c>
      <c r="D75" t="s">
        <v>97</v>
      </c>
      <c r="E75" t="s">
        <v>98</v>
      </c>
      <c r="F75" t="s">
        <v>35</v>
      </c>
      <c r="G75" t="s">
        <v>99</v>
      </c>
      <c r="H75" t="s">
        <v>78</v>
      </c>
      <c r="I75" t="s">
        <v>79</v>
      </c>
      <c r="J75" t="s">
        <v>28</v>
      </c>
      <c r="K75" t="s">
        <v>29</v>
      </c>
      <c r="L75" t="s">
        <v>49</v>
      </c>
      <c r="M75">
        <v>16</v>
      </c>
      <c r="N75">
        <v>5.99</v>
      </c>
      <c r="O75">
        <v>95.84</v>
      </c>
      <c r="P75">
        <v>0.05</v>
      </c>
      <c r="Q75">
        <v>4.79</v>
      </c>
      <c r="R75">
        <v>91.05</v>
      </c>
      <c r="S75">
        <v>7.28</v>
      </c>
      <c r="T75">
        <v>0</v>
      </c>
      <c r="U75" t="s">
        <v>31</v>
      </c>
    </row>
    <row r="76" spans="1:21" x14ac:dyDescent="0.35">
      <c r="A76" t="s">
        <v>185</v>
      </c>
      <c r="B76" s="1">
        <v>44330</v>
      </c>
      <c r="C76">
        <v>2021</v>
      </c>
      <c r="D76" t="s">
        <v>186</v>
      </c>
      <c r="E76" t="s">
        <v>187</v>
      </c>
      <c r="F76" t="s">
        <v>43</v>
      </c>
      <c r="G76" t="s">
        <v>188</v>
      </c>
      <c r="H76" t="s">
        <v>84</v>
      </c>
      <c r="I76" t="s">
        <v>85</v>
      </c>
      <c r="J76" t="s">
        <v>47</v>
      </c>
      <c r="K76" t="s">
        <v>48</v>
      </c>
      <c r="L76" t="s">
        <v>30</v>
      </c>
      <c r="M76">
        <v>30</v>
      </c>
      <c r="N76">
        <v>249.99</v>
      </c>
      <c r="O76">
        <v>7499.7</v>
      </c>
      <c r="P76">
        <v>0.08</v>
      </c>
      <c r="Q76">
        <v>599.98</v>
      </c>
      <c r="R76">
        <v>6899.72</v>
      </c>
      <c r="S76">
        <v>551.98</v>
      </c>
      <c r="T76">
        <v>7451.7</v>
      </c>
      <c r="U76" t="s">
        <v>39</v>
      </c>
    </row>
    <row r="77" spans="1:21" x14ac:dyDescent="0.35">
      <c r="A77" t="s">
        <v>189</v>
      </c>
      <c r="B77" s="1">
        <v>44330</v>
      </c>
      <c r="C77">
        <v>2021</v>
      </c>
      <c r="D77" t="s">
        <v>122</v>
      </c>
      <c r="E77" t="s">
        <v>123</v>
      </c>
      <c r="F77" t="s">
        <v>64</v>
      </c>
      <c r="G77" t="s">
        <v>124</v>
      </c>
      <c r="H77" t="s">
        <v>84</v>
      </c>
      <c r="I77" t="s">
        <v>85</v>
      </c>
      <c r="J77" t="s">
        <v>47</v>
      </c>
      <c r="K77" t="s">
        <v>29</v>
      </c>
      <c r="L77" t="s">
        <v>38</v>
      </c>
      <c r="M77">
        <v>2</v>
      </c>
      <c r="N77">
        <v>249.99</v>
      </c>
      <c r="O77">
        <v>499.98</v>
      </c>
      <c r="P77">
        <v>0.08</v>
      </c>
      <c r="Q77">
        <v>40</v>
      </c>
      <c r="R77">
        <v>459.98</v>
      </c>
      <c r="S77">
        <v>36.799999999999997</v>
      </c>
      <c r="T77">
        <v>496.78</v>
      </c>
      <c r="U77" t="s">
        <v>39</v>
      </c>
    </row>
    <row r="78" spans="1:21" x14ac:dyDescent="0.35">
      <c r="A78" t="s">
        <v>190</v>
      </c>
      <c r="B78" s="1">
        <v>44332</v>
      </c>
      <c r="C78">
        <v>2021</v>
      </c>
      <c r="D78" t="s">
        <v>91</v>
      </c>
      <c r="E78" t="s">
        <v>92</v>
      </c>
      <c r="F78" t="s">
        <v>24</v>
      </c>
      <c r="G78" t="s">
        <v>93</v>
      </c>
      <c r="H78" t="s">
        <v>26</v>
      </c>
      <c r="I78" t="s">
        <v>27</v>
      </c>
      <c r="J78" t="s">
        <v>28</v>
      </c>
      <c r="K78" t="s">
        <v>68</v>
      </c>
      <c r="L78" t="s">
        <v>49</v>
      </c>
      <c r="M78">
        <v>19</v>
      </c>
      <c r="N78">
        <v>8.99</v>
      </c>
      <c r="O78">
        <v>170.81</v>
      </c>
      <c r="P78">
        <v>0.05</v>
      </c>
      <c r="Q78">
        <v>8.5399999999999991</v>
      </c>
      <c r="R78">
        <v>162.27000000000001</v>
      </c>
      <c r="S78">
        <v>12.98</v>
      </c>
      <c r="T78">
        <v>175.25</v>
      </c>
      <c r="U78" t="s">
        <v>39</v>
      </c>
    </row>
    <row r="79" spans="1:21" x14ac:dyDescent="0.35">
      <c r="A79" t="s">
        <v>191</v>
      </c>
      <c r="B79" s="1">
        <v>44332</v>
      </c>
      <c r="C79">
        <v>2021</v>
      </c>
      <c r="D79" t="s">
        <v>148</v>
      </c>
      <c r="E79" t="s">
        <v>149</v>
      </c>
      <c r="F79" t="s">
        <v>43</v>
      </c>
      <c r="G79" t="s">
        <v>150</v>
      </c>
      <c r="H79" t="s">
        <v>78</v>
      </c>
      <c r="I79" t="s">
        <v>79</v>
      </c>
      <c r="J79" t="s">
        <v>28</v>
      </c>
      <c r="K79" t="s">
        <v>60</v>
      </c>
      <c r="L79" t="s">
        <v>69</v>
      </c>
      <c r="M79">
        <v>8</v>
      </c>
      <c r="N79">
        <v>5.99</v>
      </c>
      <c r="O79">
        <v>47.92</v>
      </c>
      <c r="P79">
        <v>0</v>
      </c>
      <c r="Q79">
        <v>0</v>
      </c>
      <c r="R79">
        <v>47.92</v>
      </c>
      <c r="S79">
        <v>3.83</v>
      </c>
      <c r="T79">
        <v>51.75</v>
      </c>
      <c r="U79" t="s">
        <v>111</v>
      </c>
    </row>
    <row r="80" spans="1:21" x14ac:dyDescent="0.35">
      <c r="A80" t="s">
        <v>192</v>
      </c>
      <c r="B80" s="1">
        <v>44334</v>
      </c>
      <c r="C80">
        <v>2021</v>
      </c>
      <c r="D80" t="s">
        <v>41</v>
      </c>
      <c r="E80" t="s">
        <v>42</v>
      </c>
      <c r="F80" t="s">
        <v>43</v>
      </c>
      <c r="G80" t="s">
        <v>44</v>
      </c>
      <c r="H80" t="s">
        <v>66</v>
      </c>
      <c r="I80" t="s">
        <v>67</v>
      </c>
      <c r="J80" t="s">
        <v>56</v>
      </c>
      <c r="K80" t="s">
        <v>60</v>
      </c>
      <c r="L80" t="s">
        <v>38</v>
      </c>
      <c r="M80">
        <v>19</v>
      </c>
      <c r="N80">
        <v>229.99</v>
      </c>
      <c r="O80">
        <v>4369.8100000000004</v>
      </c>
      <c r="P80">
        <v>0.13</v>
      </c>
      <c r="Q80">
        <v>568.08000000000004</v>
      </c>
      <c r="R80">
        <v>3801.73</v>
      </c>
      <c r="S80">
        <v>304.14</v>
      </c>
      <c r="T80">
        <v>4105.87</v>
      </c>
      <c r="U80" t="s">
        <v>111</v>
      </c>
    </row>
    <row r="81" spans="1:21" x14ac:dyDescent="0.35">
      <c r="A81" t="s">
        <v>193</v>
      </c>
      <c r="B81" s="1">
        <v>44338</v>
      </c>
      <c r="C81">
        <v>2021</v>
      </c>
      <c r="D81" t="s">
        <v>107</v>
      </c>
      <c r="E81" t="s">
        <v>108</v>
      </c>
      <c r="F81" t="s">
        <v>35</v>
      </c>
      <c r="G81" t="s">
        <v>109</v>
      </c>
      <c r="H81" t="s">
        <v>125</v>
      </c>
      <c r="I81" t="s">
        <v>126</v>
      </c>
      <c r="J81" t="s">
        <v>28</v>
      </c>
      <c r="K81" t="s">
        <v>68</v>
      </c>
      <c r="L81" t="s">
        <v>69</v>
      </c>
      <c r="M81">
        <v>14</v>
      </c>
      <c r="N81">
        <v>79.989999999999995</v>
      </c>
      <c r="O81">
        <v>1119.8599999999999</v>
      </c>
      <c r="P81">
        <v>0.05</v>
      </c>
      <c r="Q81">
        <v>55.99</v>
      </c>
      <c r="R81">
        <v>1063.8699999999999</v>
      </c>
      <c r="S81">
        <v>85.11</v>
      </c>
      <c r="T81">
        <v>1148.98</v>
      </c>
      <c r="U81" t="s">
        <v>111</v>
      </c>
    </row>
    <row r="82" spans="1:21" x14ac:dyDescent="0.35">
      <c r="A82" t="s">
        <v>194</v>
      </c>
      <c r="B82" s="1">
        <v>44341</v>
      </c>
      <c r="C82">
        <v>2021</v>
      </c>
      <c r="D82" t="s">
        <v>51</v>
      </c>
      <c r="E82" t="s">
        <v>52</v>
      </c>
      <c r="F82" t="s">
        <v>24</v>
      </c>
      <c r="G82" t="s">
        <v>53</v>
      </c>
      <c r="H82" t="s">
        <v>128</v>
      </c>
      <c r="I82" t="s">
        <v>129</v>
      </c>
      <c r="J82" t="s">
        <v>47</v>
      </c>
      <c r="K82" t="s">
        <v>68</v>
      </c>
      <c r="L82" t="s">
        <v>73</v>
      </c>
      <c r="M82">
        <v>23</v>
      </c>
      <c r="N82">
        <v>399.99</v>
      </c>
      <c r="O82">
        <v>9199.77</v>
      </c>
      <c r="P82">
        <v>0.08</v>
      </c>
      <c r="Q82">
        <v>735.98</v>
      </c>
      <c r="R82">
        <v>8463.7900000000009</v>
      </c>
      <c r="S82">
        <v>677.1</v>
      </c>
      <c r="T82">
        <v>9140.89</v>
      </c>
      <c r="U82" t="s">
        <v>39</v>
      </c>
    </row>
    <row r="83" spans="1:21" x14ac:dyDescent="0.35">
      <c r="A83" t="s">
        <v>195</v>
      </c>
      <c r="B83" s="1">
        <v>44343</v>
      </c>
      <c r="C83">
        <v>2021</v>
      </c>
      <c r="D83" t="s">
        <v>62</v>
      </c>
      <c r="E83" t="s">
        <v>63</v>
      </c>
      <c r="F83" t="s">
        <v>64</v>
      </c>
      <c r="G83" t="s">
        <v>65</v>
      </c>
      <c r="H83" t="s">
        <v>104</v>
      </c>
      <c r="I83" t="s">
        <v>105</v>
      </c>
      <c r="J83" t="s">
        <v>47</v>
      </c>
      <c r="K83" t="s">
        <v>68</v>
      </c>
      <c r="L83" t="s">
        <v>30</v>
      </c>
      <c r="M83">
        <v>16</v>
      </c>
      <c r="N83">
        <v>479.99</v>
      </c>
      <c r="O83">
        <v>7679.84</v>
      </c>
      <c r="P83">
        <v>0.05</v>
      </c>
      <c r="Q83">
        <v>383.99</v>
      </c>
      <c r="R83">
        <v>7295.85</v>
      </c>
      <c r="S83">
        <v>583.66999999999996</v>
      </c>
      <c r="T83">
        <v>7879.52</v>
      </c>
      <c r="U83" t="s">
        <v>111</v>
      </c>
    </row>
    <row r="84" spans="1:21" x14ac:dyDescent="0.35">
      <c r="A84" t="s">
        <v>196</v>
      </c>
      <c r="B84" s="1">
        <v>44347</v>
      </c>
      <c r="C84">
        <v>2021</v>
      </c>
      <c r="D84" t="s">
        <v>41</v>
      </c>
      <c r="E84" t="s">
        <v>42</v>
      </c>
      <c r="F84" t="s">
        <v>43</v>
      </c>
      <c r="G84" t="s">
        <v>44</v>
      </c>
      <c r="H84" t="s">
        <v>78</v>
      </c>
      <c r="I84" t="s">
        <v>79</v>
      </c>
      <c r="J84" t="s">
        <v>28</v>
      </c>
      <c r="K84" t="s">
        <v>60</v>
      </c>
      <c r="L84" t="s">
        <v>38</v>
      </c>
      <c r="M84">
        <v>3</v>
      </c>
      <c r="N84">
        <v>5.99</v>
      </c>
      <c r="O84">
        <v>17.97</v>
      </c>
      <c r="P84">
        <v>0.08</v>
      </c>
      <c r="Q84">
        <v>1.44</v>
      </c>
      <c r="R84">
        <v>16.53</v>
      </c>
      <c r="S84">
        <v>1.32</v>
      </c>
      <c r="T84">
        <v>17.850000000000001</v>
      </c>
      <c r="U84" t="s">
        <v>39</v>
      </c>
    </row>
    <row r="85" spans="1:21" x14ac:dyDescent="0.35">
      <c r="A85" t="s">
        <v>197</v>
      </c>
      <c r="B85" s="1">
        <v>44348</v>
      </c>
      <c r="C85">
        <v>2021</v>
      </c>
      <c r="D85" t="s">
        <v>22</v>
      </c>
      <c r="E85" t="s">
        <v>23</v>
      </c>
      <c r="F85" t="s">
        <v>24</v>
      </c>
      <c r="G85" t="s">
        <v>25</v>
      </c>
      <c r="H85" t="s">
        <v>78</v>
      </c>
      <c r="I85" t="s">
        <v>79</v>
      </c>
      <c r="J85" t="s">
        <v>28</v>
      </c>
      <c r="K85" t="s">
        <v>48</v>
      </c>
      <c r="L85" t="s">
        <v>38</v>
      </c>
      <c r="M85">
        <v>7</v>
      </c>
      <c r="N85">
        <v>5.99</v>
      </c>
      <c r="O85">
        <v>41.93</v>
      </c>
      <c r="P85">
        <v>0.08</v>
      </c>
      <c r="Q85">
        <v>3.35</v>
      </c>
      <c r="R85">
        <v>38.58</v>
      </c>
      <c r="S85">
        <v>3.09</v>
      </c>
      <c r="T85">
        <v>41.67</v>
      </c>
      <c r="U85" t="s">
        <v>39</v>
      </c>
    </row>
    <row r="86" spans="1:21" x14ac:dyDescent="0.35">
      <c r="A86" t="s">
        <v>198</v>
      </c>
      <c r="B86" s="1">
        <v>44348</v>
      </c>
      <c r="C86">
        <v>2021</v>
      </c>
      <c r="D86" t="s">
        <v>142</v>
      </c>
      <c r="E86" t="s">
        <v>143</v>
      </c>
      <c r="F86" t="s">
        <v>43</v>
      </c>
      <c r="G86" t="s">
        <v>144</v>
      </c>
      <c r="H86" t="s">
        <v>100</v>
      </c>
      <c r="I86" t="s">
        <v>101</v>
      </c>
      <c r="J86" t="s">
        <v>47</v>
      </c>
      <c r="K86" t="s">
        <v>60</v>
      </c>
      <c r="L86" t="s">
        <v>30</v>
      </c>
      <c r="M86">
        <v>19</v>
      </c>
      <c r="N86">
        <v>29.99</v>
      </c>
      <c r="O86">
        <v>569.80999999999995</v>
      </c>
      <c r="P86">
        <v>0.05</v>
      </c>
      <c r="Q86">
        <v>28.49</v>
      </c>
      <c r="R86">
        <v>541.32000000000005</v>
      </c>
      <c r="S86">
        <v>43.31</v>
      </c>
      <c r="T86">
        <v>584.63</v>
      </c>
      <c r="U86" t="s">
        <v>39</v>
      </c>
    </row>
    <row r="87" spans="1:21" x14ac:dyDescent="0.35">
      <c r="A87" t="s">
        <v>199</v>
      </c>
      <c r="B87" s="1">
        <v>44348</v>
      </c>
      <c r="C87">
        <v>2021</v>
      </c>
      <c r="D87" t="s">
        <v>51</v>
      </c>
      <c r="E87" t="s">
        <v>52</v>
      </c>
      <c r="F87" t="s">
        <v>24</v>
      </c>
      <c r="G87" t="s">
        <v>53</v>
      </c>
      <c r="H87" t="s">
        <v>125</v>
      </c>
      <c r="I87" t="s">
        <v>126</v>
      </c>
      <c r="J87" t="s">
        <v>28</v>
      </c>
      <c r="K87" t="s">
        <v>29</v>
      </c>
      <c r="L87" t="s">
        <v>49</v>
      </c>
      <c r="M87">
        <v>26</v>
      </c>
      <c r="N87">
        <v>79.989999999999995</v>
      </c>
      <c r="O87">
        <v>2079.7399999999998</v>
      </c>
      <c r="P87">
        <v>0.08</v>
      </c>
      <c r="Q87">
        <v>166.38</v>
      </c>
      <c r="R87">
        <v>1913.36</v>
      </c>
      <c r="S87">
        <v>153.07</v>
      </c>
      <c r="T87">
        <v>2066.4299999999998</v>
      </c>
      <c r="U87" t="s">
        <v>39</v>
      </c>
    </row>
    <row r="88" spans="1:21" x14ac:dyDescent="0.35">
      <c r="A88" t="s">
        <v>200</v>
      </c>
      <c r="B88" s="1">
        <v>44350</v>
      </c>
      <c r="C88">
        <v>2021</v>
      </c>
      <c r="D88" t="s">
        <v>22</v>
      </c>
      <c r="E88" t="s">
        <v>23</v>
      </c>
      <c r="F88" t="s">
        <v>24</v>
      </c>
      <c r="G88" t="s">
        <v>25</v>
      </c>
      <c r="H88" t="s">
        <v>100</v>
      </c>
      <c r="I88" t="s">
        <v>101</v>
      </c>
      <c r="J88" t="s">
        <v>47</v>
      </c>
      <c r="K88" t="s">
        <v>68</v>
      </c>
      <c r="L88" t="s">
        <v>38</v>
      </c>
      <c r="M88">
        <v>23</v>
      </c>
      <c r="N88">
        <v>29.99</v>
      </c>
      <c r="O88">
        <v>689.77</v>
      </c>
      <c r="P88">
        <v>0.16</v>
      </c>
      <c r="Q88">
        <v>110.36</v>
      </c>
      <c r="R88">
        <v>579.41</v>
      </c>
      <c r="S88">
        <v>46.35</v>
      </c>
      <c r="T88">
        <v>625.76</v>
      </c>
      <c r="U88" t="s">
        <v>39</v>
      </c>
    </row>
    <row r="89" spans="1:21" x14ac:dyDescent="0.35">
      <c r="A89" t="s">
        <v>201</v>
      </c>
      <c r="B89" s="1">
        <v>44351</v>
      </c>
      <c r="C89">
        <v>2021</v>
      </c>
      <c r="D89" t="s">
        <v>142</v>
      </c>
      <c r="E89" t="s">
        <v>143</v>
      </c>
      <c r="F89" t="s">
        <v>43</v>
      </c>
      <c r="G89" t="s">
        <v>144</v>
      </c>
      <c r="H89" t="s">
        <v>104</v>
      </c>
      <c r="I89" t="s">
        <v>105</v>
      </c>
      <c r="J89" t="s">
        <v>47</v>
      </c>
      <c r="K89" t="s">
        <v>37</v>
      </c>
      <c r="L89" t="s">
        <v>73</v>
      </c>
      <c r="M89">
        <v>6</v>
      </c>
      <c r="N89">
        <v>479.99</v>
      </c>
      <c r="O89">
        <v>2879.94</v>
      </c>
      <c r="P89">
        <v>0</v>
      </c>
      <c r="Q89">
        <v>0</v>
      </c>
      <c r="R89">
        <v>2879.94</v>
      </c>
      <c r="S89">
        <v>230.4</v>
      </c>
      <c r="T89">
        <v>3110.34</v>
      </c>
      <c r="U89" t="s">
        <v>39</v>
      </c>
    </row>
    <row r="90" spans="1:21" x14ac:dyDescent="0.35">
      <c r="A90" t="s">
        <v>202</v>
      </c>
      <c r="B90" s="1">
        <v>44352</v>
      </c>
      <c r="C90">
        <v>2021</v>
      </c>
      <c r="D90" t="s">
        <v>51</v>
      </c>
      <c r="E90" t="s">
        <v>52</v>
      </c>
      <c r="F90" t="s">
        <v>24</v>
      </c>
      <c r="G90" t="s">
        <v>53</v>
      </c>
      <c r="H90" t="s">
        <v>125</v>
      </c>
      <c r="I90" t="s">
        <v>126</v>
      </c>
      <c r="J90" t="s">
        <v>28</v>
      </c>
      <c r="K90" t="s">
        <v>60</v>
      </c>
      <c r="L90" t="s">
        <v>69</v>
      </c>
      <c r="M90">
        <v>23</v>
      </c>
      <c r="N90">
        <v>79.989999999999995</v>
      </c>
      <c r="O90">
        <v>1839.77</v>
      </c>
      <c r="P90">
        <v>0.08</v>
      </c>
      <c r="Q90">
        <v>147.18</v>
      </c>
      <c r="R90">
        <v>1692.59</v>
      </c>
      <c r="S90">
        <v>135.41</v>
      </c>
      <c r="T90">
        <v>1828</v>
      </c>
      <c r="U90" t="s">
        <v>39</v>
      </c>
    </row>
    <row r="91" spans="1:21" x14ac:dyDescent="0.35">
      <c r="A91" t="s">
        <v>203</v>
      </c>
      <c r="B91" s="1">
        <v>44354</v>
      </c>
      <c r="C91">
        <v>2021</v>
      </c>
      <c r="D91" t="s">
        <v>87</v>
      </c>
      <c r="E91" t="s">
        <v>88</v>
      </c>
      <c r="F91" t="s">
        <v>24</v>
      </c>
      <c r="G91" t="s">
        <v>89</v>
      </c>
      <c r="H91" t="s">
        <v>45</v>
      </c>
      <c r="I91" t="s">
        <v>46</v>
      </c>
      <c r="J91" t="s">
        <v>47</v>
      </c>
      <c r="K91" t="s">
        <v>29</v>
      </c>
      <c r="L91" t="s">
        <v>38</v>
      </c>
      <c r="M91">
        <v>2</v>
      </c>
      <c r="N91">
        <v>89.99</v>
      </c>
      <c r="O91">
        <v>179.98</v>
      </c>
      <c r="P91">
        <v>0.08</v>
      </c>
      <c r="Q91">
        <v>14.4</v>
      </c>
      <c r="R91">
        <v>165.58</v>
      </c>
      <c r="S91">
        <v>13.25</v>
      </c>
      <c r="T91">
        <v>178.83</v>
      </c>
      <c r="U91" t="s">
        <v>39</v>
      </c>
    </row>
    <row r="92" spans="1:21" x14ac:dyDescent="0.35">
      <c r="A92" t="s">
        <v>204</v>
      </c>
      <c r="B92" s="1">
        <v>44357</v>
      </c>
      <c r="C92">
        <v>2021</v>
      </c>
      <c r="D92" t="s">
        <v>91</v>
      </c>
      <c r="E92" t="s">
        <v>92</v>
      </c>
      <c r="F92" t="s">
        <v>24</v>
      </c>
      <c r="G92" t="s">
        <v>93</v>
      </c>
      <c r="H92" t="s">
        <v>94</v>
      </c>
      <c r="I92" t="s">
        <v>95</v>
      </c>
      <c r="J92" t="s">
        <v>56</v>
      </c>
      <c r="K92" t="s">
        <v>48</v>
      </c>
      <c r="L92" t="s">
        <v>30</v>
      </c>
      <c r="M92">
        <v>24</v>
      </c>
      <c r="N92">
        <v>349.99</v>
      </c>
      <c r="O92">
        <v>8399.76</v>
      </c>
      <c r="P92">
        <v>0.08</v>
      </c>
      <c r="Q92">
        <v>671.98</v>
      </c>
      <c r="R92">
        <v>7727.78</v>
      </c>
      <c r="S92">
        <v>618.22</v>
      </c>
      <c r="T92">
        <v>8346</v>
      </c>
      <c r="U92" t="s">
        <v>39</v>
      </c>
    </row>
    <row r="93" spans="1:21" x14ac:dyDescent="0.35">
      <c r="A93" t="s">
        <v>205</v>
      </c>
      <c r="B93" s="1">
        <v>44357</v>
      </c>
      <c r="C93">
        <v>2021</v>
      </c>
      <c r="D93" t="s">
        <v>33</v>
      </c>
      <c r="E93" t="s">
        <v>34</v>
      </c>
      <c r="F93" t="s">
        <v>35</v>
      </c>
      <c r="G93" t="s">
        <v>36</v>
      </c>
      <c r="H93" t="s">
        <v>71</v>
      </c>
      <c r="I93" t="s">
        <v>72</v>
      </c>
      <c r="J93" t="s">
        <v>47</v>
      </c>
      <c r="K93" t="s">
        <v>48</v>
      </c>
      <c r="L93" t="s">
        <v>38</v>
      </c>
      <c r="M93">
        <v>24</v>
      </c>
      <c r="N93">
        <v>1199.99</v>
      </c>
      <c r="O93">
        <v>28799.759999999998</v>
      </c>
      <c r="P93">
        <v>0.16</v>
      </c>
      <c r="Q93">
        <v>4607.96</v>
      </c>
      <c r="R93">
        <v>24191.8</v>
      </c>
      <c r="S93">
        <v>1935.34</v>
      </c>
      <c r="T93">
        <v>26127.14</v>
      </c>
      <c r="U93" t="s">
        <v>39</v>
      </c>
    </row>
    <row r="94" spans="1:21" x14ac:dyDescent="0.35">
      <c r="A94" t="s">
        <v>206</v>
      </c>
      <c r="B94" s="1">
        <v>44361</v>
      </c>
      <c r="C94">
        <v>2021</v>
      </c>
      <c r="D94" t="s">
        <v>97</v>
      </c>
      <c r="E94" t="s">
        <v>98</v>
      </c>
      <c r="F94" t="s">
        <v>35</v>
      </c>
      <c r="G94" t="s">
        <v>99</v>
      </c>
      <c r="H94" t="s">
        <v>26</v>
      </c>
      <c r="I94" t="s">
        <v>27</v>
      </c>
      <c r="J94" t="s">
        <v>28</v>
      </c>
      <c r="K94" t="s">
        <v>48</v>
      </c>
      <c r="L94" t="s">
        <v>30</v>
      </c>
      <c r="M94">
        <v>15</v>
      </c>
      <c r="N94">
        <v>8.99</v>
      </c>
      <c r="O94">
        <v>134.85</v>
      </c>
      <c r="P94">
        <v>0.05</v>
      </c>
      <c r="Q94">
        <v>6.74</v>
      </c>
      <c r="R94">
        <v>128.11000000000001</v>
      </c>
      <c r="S94">
        <v>10.25</v>
      </c>
      <c r="T94">
        <v>138.36000000000001</v>
      </c>
      <c r="U94" t="s">
        <v>39</v>
      </c>
    </row>
    <row r="95" spans="1:21" x14ac:dyDescent="0.35">
      <c r="A95" t="s">
        <v>207</v>
      </c>
      <c r="B95" s="1">
        <v>44366</v>
      </c>
      <c r="C95">
        <v>2021</v>
      </c>
      <c r="D95" t="s">
        <v>41</v>
      </c>
      <c r="E95" t="s">
        <v>42</v>
      </c>
      <c r="F95" t="s">
        <v>43</v>
      </c>
      <c r="G95" t="s">
        <v>44</v>
      </c>
      <c r="H95" t="s">
        <v>208</v>
      </c>
      <c r="I95" t="s">
        <v>209</v>
      </c>
      <c r="J95" t="s">
        <v>47</v>
      </c>
      <c r="K95" t="s">
        <v>68</v>
      </c>
      <c r="L95" t="s">
        <v>73</v>
      </c>
      <c r="M95">
        <v>19</v>
      </c>
      <c r="N95">
        <v>49.99</v>
      </c>
      <c r="O95">
        <v>949.81</v>
      </c>
      <c r="P95">
        <v>0.05</v>
      </c>
      <c r="Q95">
        <v>47.49</v>
      </c>
      <c r="R95">
        <v>902.32</v>
      </c>
      <c r="S95">
        <v>72.19</v>
      </c>
      <c r="T95">
        <v>0</v>
      </c>
      <c r="U95" t="s">
        <v>31</v>
      </c>
    </row>
    <row r="96" spans="1:21" x14ac:dyDescent="0.35">
      <c r="A96" t="s">
        <v>210</v>
      </c>
      <c r="B96" s="1">
        <v>44368</v>
      </c>
      <c r="C96">
        <v>2021</v>
      </c>
      <c r="D96" t="s">
        <v>41</v>
      </c>
      <c r="E96" t="s">
        <v>42</v>
      </c>
      <c r="F96" t="s">
        <v>43</v>
      </c>
      <c r="G96" t="s">
        <v>44</v>
      </c>
      <c r="H96" t="s">
        <v>58</v>
      </c>
      <c r="I96" t="s">
        <v>59</v>
      </c>
      <c r="J96" t="s">
        <v>56</v>
      </c>
      <c r="K96" t="s">
        <v>68</v>
      </c>
      <c r="L96" t="s">
        <v>49</v>
      </c>
      <c r="M96">
        <v>9</v>
      </c>
      <c r="N96">
        <v>599.99</v>
      </c>
      <c r="O96">
        <v>5399.91</v>
      </c>
      <c r="P96">
        <v>0</v>
      </c>
      <c r="Q96">
        <v>0</v>
      </c>
      <c r="R96">
        <v>5399.91</v>
      </c>
      <c r="S96">
        <v>431.99</v>
      </c>
      <c r="T96">
        <v>5831.9</v>
      </c>
      <c r="U96" t="s">
        <v>39</v>
      </c>
    </row>
    <row r="97" spans="1:21" x14ac:dyDescent="0.35">
      <c r="A97" t="s">
        <v>211</v>
      </c>
      <c r="B97" s="1">
        <v>44370</v>
      </c>
      <c r="C97">
        <v>2021</v>
      </c>
      <c r="D97" t="s">
        <v>81</v>
      </c>
      <c r="E97" t="s">
        <v>82</v>
      </c>
      <c r="F97" t="s">
        <v>35</v>
      </c>
      <c r="G97" t="s">
        <v>83</v>
      </c>
      <c r="H97" t="s">
        <v>104</v>
      </c>
      <c r="I97" t="s">
        <v>105</v>
      </c>
      <c r="J97" t="s">
        <v>47</v>
      </c>
      <c r="K97" t="s">
        <v>68</v>
      </c>
      <c r="L97" t="s">
        <v>69</v>
      </c>
      <c r="M97">
        <v>13</v>
      </c>
      <c r="N97">
        <v>479.99</v>
      </c>
      <c r="O97">
        <v>6239.87</v>
      </c>
      <c r="P97">
        <v>0.05</v>
      </c>
      <c r="Q97">
        <v>311.99</v>
      </c>
      <c r="R97">
        <v>5927.88</v>
      </c>
      <c r="S97">
        <v>474.23</v>
      </c>
      <c r="T97">
        <v>6402.11</v>
      </c>
      <c r="U97" t="s">
        <v>39</v>
      </c>
    </row>
    <row r="98" spans="1:21" x14ac:dyDescent="0.35">
      <c r="A98" t="s">
        <v>212</v>
      </c>
      <c r="B98" s="1">
        <v>44371</v>
      </c>
      <c r="C98">
        <v>2021</v>
      </c>
      <c r="D98" t="s">
        <v>22</v>
      </c>
      <c r="E98" t="s">
        <v>23</v>
      </c>
      <c r="F98" t="s">
        <v>24</v>
      </c>
      <c r="G98" t="s">
        <v>25</v>
      </c>
      <c r="H98" t="s">
        <v>58</v>
      </c>
      <c r="I98" t="s">
        <v>59</v>
      </c>
      <c r="J98" t="s">
        <v>56</v>
      </c>
      <c r="K98" t="s">
        <v>68</v>
      </c>
      <c r="L98" t="s">
        <v>73</v>
      </c>
      <c r="M98">
        <v>14</v>
      </c>
      <c r="N98">
        <v>599.99</v>
      </c>
      <c r="O98">
        <v>8399.86</v>
      </c>
      <c r="P98">
        <v>0.05</v>
      </c>
      <c r="Q98">
        <v>419.99</v>
      </c>
      <c r="R98">
        <v>7979.87</v>
      </c>
      <c r="S98">
        <v>638.39</v>
      </c>
      <c r="T98">
        <v>8618.26</v>
      </c>
      <c r="U98" t="s">
        <v>111</v>
      </c>
    </row>
    <row r="99" spans="1:21" x14ac:dyDescent="0.35">
      <c r="A99" t="s">
        <v>213</v>
      </c>
      <c r="B99" s="1">
        <v>44380</v>
      </c>
      <c r="C99">
        <v>2021</v>
      </c>
      <c r="D99" t="s">
        <v>91</v>
      </c>
      <c r="E99" t="s">
        <v>92</v>
      </c>
      <c r="F99" t="s">
        <v>24</v>
      </c>
      <c r="G99" t="s">
        <v>93</v>
      </c>
      <c r="H99" t="s">
        <v>125</v>
      </c>
      <c r="I99" t="s">
        <v>126</v>
      </c>
      <c r="J99" t="s">
        <v>28</v>
      </c>
      <c r="K99" t="s">
        <v>68</v>
      </c>
      <c r="L99" t="s">
        <v>49</v>
      </c>
      <c r="M99">
        <v>10</v>
      </c>
      <c r="N99">
        <v>79.989999999999995</v>
      </c>
      <c r="O99">
        <v>799.9</v>
      </c>
      <c r="P99">
        <v>0.05</v>
      </c>
      <c r="Q99">
        <v>40</v>
      </c>
      <c r="R99">
        <v>759.9</v>
      </c>
      <c r="S99">
        <v>60.79</v>
      </c>
      <c r="T99">
        <v>820.69</v>
      </c>
      <c r="U99" t="s">
        <v>39</v>
      </c>
    </row>
    <row r="100" spans="1:21" x14ac:dyDescent="0.35">
      <c r="A100" t="s">
        <v>214</v>
      </c>
      <c r="B100" s="1">
        <v>44382</v>
      </c>
      <c r="C100">
        <v>2021</v>
      </c>
      <c r="D100" t="s">
        <v>97</v>
      </c>
      <c r="E100" t="s">
        <v>98</v>
      </c>
      <c r="F100" t="s">
        <v>35</v>
      </c>
      <c r="G100" t="s">
        <v>99</v>
      </c>
      <c r="H100" t="s">
        <v>45</v>
      </c>
      <c r="I100" t="s">
        <v>46</v>
      </c>
      <c r="J100" t="s">
        <v>47</v>
      </c>
      <c r="K100" t="s">
        <v>60</v>
      </c>
      <c r="L100" t="s">
        <v>69</v>
      </c>
      <c r="M100">
        <v>30</v>
      </c>
      <c r="N100">
        <v>89.99</v>
      </c>
      <c r="O100">
        <v>2699.7</v>
      </c>
      <c r="P100">
        <v>0.08</v>
      </c>
      <c r="Q100">
        <v>215.98</v>
      </c>
      <c r="R100">
        <v>2483.7199999999998</v>
      </c>
      <c r="S100">
        <v>198.7</v>
      </c>
      <c r="T100">
        <v>2682.42</v>
      </c>
      <c r="U100" t="s">
        <v>39</v>
      </c>
    </row>
    <row r="101" spans="1:21" x14ac:dyDescent="0.35">
      <c r="A101" t="s">
        <v>215</v>
      </c>
      <c r="B101" s="1">
        <v>44382</v>
      </c>
      <c r="C101">
        <v>2021</v>
      </c>
      <c r="D101" t="s">
        <v>142</v>
      </c>
      <c r="E101" t="s">
        <v>143</v>
      </c>
      <c r="F101" t="s">
        <v>43</v>
      </c>
      <c r="G101" t="s">
        <v>144</v>
      </c>
      <c r="H101" t="s">
        <v>26</v>
      </c>
      <c r="I101" t="s">
        <v>27</v>
      </c>
      <c r="J101" t="s">
        <v>28</v>
      </c>
      <c r="K101" t="s">
        <v>60</v>
      </c>
      <c r="L101" t="s">
        <v>38</v>
      </c>
      <c r="M101">
        <v>28</v>
      </c>
      <c r="N101">
        <v>8.99</v>
      </c>
      <c r="O101">
        <v>251.72</v>
      </c>
      <c r="P101">
        <v>0.16</v>
      </c>
      <c r="Q101">
        <v>40.28</v>
      </c>
      <c r="R101">
        <v>211.44</v>
      </c>
      <c r="S101">
        <v>16.920000000000002</v>
      </c>
      <c r="T101">
        <v>228.36</v>
      </c>
      <c r="U101" t="s">
        <v>39</v>
      </c>
    </row>
    <row r="102" spans="1:21" x14ac:dyDescent="0.35">
      <c r="A102" t="s">
        <v>216</v>
      </c>
      <c r="B102" s="1">
        <v>44383</v>
      </c>
      <c r="C102">
        <v>2021</v>
      </c>
      <c r="D102" t="s">
        <v>33</v>
      </c>
      <c r="E102" t="s">
        <v>34</v>
      </c>
      <c r="F102" t="s">
        <v>35</v>
      </c>
      <c r="G102" t="s">
        <v>36</v>
      </c>
      <c r="H102" t="s">
        <v>104</v>
      </c>
      <c r="I102" t="s">
        <v>105</v>
      </c>
      <c r="J102" t="s">
        <v>47</v>
      </c>
      <c r="K102" t="s">
        <v>60</v>
      </c>
      <c r="L102" t="s">
        <v>49</v>
      </c>
      <c r="M102">
        <v>21</v>
      </c>
      <c r="N102">
        <v>479.99</v>
      </c>
      <c r="O102">
        <v>10079.790000000001</v>
      </c>
      <c r="P102">
        <v>0.08</v>
      </c>
      <c r="Q102">
        <v>806.38</v>
      </c>
      <c r="R102">
        <v>9273.41</v>
      </c>
      <c r="S102">
        <v>741.87</v>
      </c>
      <c r="T102">
        <v>10015.280000000001</v>
      </c>
      <c r="U102" t="s">
        <v>39</v>
      </c>
    </row>
    <row r="103" spans="1:21" x14ac:dyDescent="0.35">
      <c r="A103" t="s">
        <v>217</v>
      </c>
      <c r="B103" s="1">
        <v>44383</v>
      </c>
      <c r="C103">
        <v>2021</v>
      </c>
      <c r="D103" t="s">
        <v>91</v>
      </c>
      <c r="E103" t="s">
        <v>92</v>
      </c>
      <c r="F103" t="s">
        <v>24</v>
      </c>
      <c r="G103" t="s">
        <v>93</v>
      </c>
      <c r="H103" t="s">
        <v>84</v>
      </c>
      <c r="I103" t="s">
        <v>85</v>
      </c>
      <c r="J103" t="s">
        <v>47</v>
      </c>
      <c r="K103" t="s">
        <v>37</v>
      </c>
      <c r="L103" t="s">
        <v>38</v>
      </c>
      <c r="M103">
        <v>19</v>
      </c>
      <c r="N103">
        <v>249.99</v>
      </c>
      <c r="O103">
        <v>4749.8100000000004</v>
      </c>
      <c r="P103">
        <v>0.13</v>
      </c>
      <c r="Q103">
        <v>617.48</v>
      </c>
      <c r="R103">
        <v>4132.33</v>
      </c>
      <c r="S103">
        <v>330.59</v>
      </c>
      <c r="T103">
        <v>4462.92</v>
      </c>
      <c r="U103" t="s">
        <v>39</v>
      </c>
    </row>
    <row r="104" spans="1:21" x14ac:dyDescent="0.35">
      <c r="A104" t="s">
        <v>218</v>
      </c>
      <c r="B104" s="1">
        <v>44385</v>
      </c>
      <c r="C104">
        <v>2021</v>
      </c>
      <c r="D104" t="s">
        <v>122</v>
      </c>
      <c r="E104" t="s">
        <v>123</v>
      </c>
      <c r="F104" t="s">
        <v>64</v>
      </c>
      <c r="G104" t="s">
        <v>124</v>
      </c>
      <c r="H104" t="s">
        <v>94</v>
      </c>
      <c r="I104" t="s">
        <v>95</v>
      </c>
      <c r="J104" t="s">
        <v>56</v>
      </c>
      <c r="K104" t="s">
        <v>29</v>
      </c>
      <c r="L104" t="s">
        <v>49</v>
      </c>
      <c r="M104">
        <v>19</v>
      </c>
      <c r="N104">
        <v>349.99</v>
      </c>
      <c r="O104">
        <v>6649.81</v>
      </c>
      <c r="P104">
        <v>0.05</v>
      </c>
      <c r="Q104">
        <v>332.49</v>
      </c>
      <c r="R104">
        <v>6317.32</v>
      </c>
      <c r="S104">
        <v>505.39</v>
      </c>
      <c r="T104">
        <v>6822.71</v>
      </c>
      <c r="U104" t="s">
        <v>111</v>
      </c>
    </row>
    <row r="105" spans="1:21" x14ac:dyDescent="0.35">
      <c r="A105" t="s">
        <v>219</v>
      </c>
      <c r="B105" s="1">
        <v>44386</v>
      </c>
      <c r="C105">
        <v>2021</v>
      </c>
      <c r="D105" t="s">
        <v>107</v>
      </c>
      <c r="E105" t="s">
        <v>108</v>
      </c>
      <c r="F105" t="s">
        <v>35</v>
      </c>
      <c r="G105" t="s">
        <v>109</v>
      </c>
      <c r="H105" t="s">
        <v>100</v>
      </c>
      <c r="I105" t="s">
        <v>101</v>
      </c>
      <c r="J105" t="s">
        <v>47</v>
      </c>
      <c r="K105" t="s">
        <v>29</v>
      </c>
      <c r="L105" t="s">
        <v>30</v>
      </c>
      <c r="M105">
        <v>27</v>
      </c>
      <c r="N105">
        <v>29.99</v>
      </c>
      <c r="O105">
        <v>809.73</v>
      </c>
      <c r="P105">
        <v>0.08</v>
      </c>
      <c r="Q105">
        <v>64.78</v>
      </c>
      <c r="R105">
        <v>744.95</v>
      </c>
      <c r="S105">
        <v>59.6</v>
      </c>
      <c r="T105">
        <v>804.55</v>
      </c>
      <c r="U105" t="s">
        <v>39</v>
      </c>
    </row>
    <row r="106" spans="1:21" x14ac:dyDescent="0.35">
      <c r="A106" t="s">
        <v>220</v>
      </c>
      <c r="B106" s="1">
        <v>44386</v>
      </c>
      <c r="C106">
        <v>2021</v>
      </c>
      <c r="D106" t="s">
        <v>91</v>
      </c>
      <c r="E106" t="s">
        <v>92</v>
      </c>
      <c r="F106" t="s">
        <v>24</v>
      </c>
      <c r="G106" t="s">
        <v>93</v>
      </c>
      <c r="H106" t="s">
        <v>66</v>
      </c>
      <c r="I106" t="s">
        <v>67</v>
      </c>
      <c r="J106" t="s">
        <v>56</v>
      </c>
      <c r="K106" t="s">
        <v>37</v>
      </c>
      <c r="L106" t="s">
        <v>30</v>
      </c>
      <c r="M106">
        <v>22</v>
      </c>
      <c r="N106">
        <v>229.99</v>
      </c>
      <c r="O106">
        <v>5059.78</v>
      </c>
      <c r="P106">
        <v>0.08</v>
      </c>
      <c r="Q106">
        <v>404.78</v>
      </c>
      <c r="R106">
        <v>4655</v>
      </c>
      <c r="S106">
        <v>372.4</v>
      </c>
      <c r="T106">
        <v>5027.3999999999996</v>
      </c>
      <c r="U106" t="s">
        <v>39</v>
      </c>
    </row>
    <row r="107" spans="1:21" x14ac:dyDescent="0.35">
      <c r="A107" t="s">
        <v>221</v>
      </c>
      <c r="B107" s="1">
        <v>44388</v>
      </c>
      <c r="C107">
        <v>2021</v>
      </c>
      <c r="D107" t="s">
        <v>81</v>
      </c>
      <c r="E107" t="s">
        <v>82</v>
      </c>
      <c r="F107" t="s">
        <v>35</v>
      </c>
      <c r="G107" t="s">
        <v>83</v>
      </c>
      <c r="H107" t="s">
        <v>94</v>
      </c>
      <c r="I107" t="s">
        <v>95</v>
      </c>
      <c r="J107" t="s">
        <v>56</v>
      </c>
      <c r="K107" t="s">
        <v>37</v>
      </c>
      <c r="L107" t="s">
        <v>38</v>
      </c>
      <c r="M107">
        <v>21</v>
      </c>
      <c r="N107">
        <v>349.99</v>
      </c>
      <c r="O107">
        <v>7349.79</v>
      </c>
      <c r="P107">
        <v>0.16</v>
      </c>
      <c r="Q107">
        <v>1175.97</v>
      </c>
      <c r="R107">
        <v>6173.82</v>
      </c>
      <c r="S107">
        <v>493.91</v>
      </c>
      <c r="T107">
        <v>6667.73</v>
      </c>
      <c r="U107" t="s">
        <v>111</v>
      </c>
    </row>
    <row r="108" spans="1:21" x14ac:dyDescent="0.35">
      <c r="A108" t="s">
        <v>222</v>
      </c>
      <c r="B108" s="1">
        <v>44389</v>
      </c>
      <c r="C108">
        <v>2021</v>
      </c>
      <c r="D108" t="s">
        <v>107</v>
      </c>
      <c r="E108" t="s">
        <v>108</v>
      </c>
      <c r="F108" t="s">
        <v>35</v>
      </c>
      <c r="G108" t="s">
        <v>109</v>
      </c>
      <c r="H108" t="s">
        <v>71</v>
      </c>
      <c r="I108" t="s">
        <v>72</v>
      </c>
      <c r="J108" t="s">
        <v>47</v>
      </c>
      <c r="K108" t="s">
        <v>37</v>
      </c>
      <c r="L108" t="s">
        <v>30</v>
      </c>
      <c r="M108">
        <v>30</v>
      </c>
      <c r="N108">
        <v>1199.99</v>
      </c>
      <c r="O108">
        <v>35999.699999999997</v>
      </c>
      <c r="P108">
        <v>0.08</v>
      </c>
      <c r="Q108">
        <v>2879.98</v>
      </c>
      <c r="R108">
        <v>33119.72</v>
      </c>
      <c r="S108">
        <v>2649.58</v>
      </c>
      <c r="T108">
        <v>35769.300000000003</v>
      </c>
      <c r="U108" t="s">
        <v>111</v>
      </c>
    </row>
    <row r="109" spans="1:21" x14ac:dyDescent="0.35">
      <c r="A109" t="s">
        <v>223</v>
      </c>
      <c r="B109" s="1">
        <v>44391</v>
      </c>
      <c r="C109">
        <v>2021</v>
      </c>
      <c r="D109" t="s">
        <v>75</v>
      </c>
      <c r="E109" t="s">
        <v>76</v>
      </c>
      <c r="F109" t="s">
        <v>64</v>
      </c>
      <c r="G109" t="s">
        <v>77</v>
      </c>
      <c r="H109" t="s">
        <v>58</v>
      </c>
      <c r="I109" t="s">
        <v>59</v>
      </c>
      <c r="J109" t="s">
        <v>56</v>
      </c>
      <c r="K109" t="s">
        <v>29</v>
      </c>
      <c r="L109" t="s">
        <v>49</v>
      </c>
      <c r="M109">
        <v>3</v>
      </c>
      <c r="N109">
        <v>599.99</v>
      </c>
      <c r="O109">
        <v>1799.97</v>
      </c>
      <c r="P109">
        <v>0</v>
      </c>
      <c r="Q109">
        <v>0</v>
      </c>
      <c r="R109">
        <v>1799.97</v>
      </c>
      <c r="S109">
        <v>144</v>
      </c>
      <c r="T109">
        <v>1943.97</v>
      </c>
      <c r="U109" t="s">
        <v>39</v>
      </c>
    </row>
    <row r="110" spans="1:21" x14ac:dyDescent="0.35">
      <c r="A110" t="s">
        <v>224</v>
      </c>
      <c r="B110" s="1">
        <v>44391</v>
      </c>
      <c r="C110">
        <v>2021</v>
      </c>
      <c r="D110" t="s">
        <v>41</v>
      </c>
      <c r="E110" t="s">
        <v>42</v>
      </c>
      <c r="F110" t="s">
        <v>43</v>
      </c>
      <c r="G110" t="s">
        <v>44</v>
      </c>
      <c r="H110" t="s">
        <v>128</v>
      </c>
      <c r="I110" t="s">
        <v>129</v>
      </c>
      <c r="J110" t="s">
        <v>47</v>
      </c>
      <c r="K110" t="s">
        <v>29</v>
      </c>
      <c r="L110" t="s">
        <v>38</v>
      </c>
      <c r="M110">
        <v>6</v>
      </c>
      <c r="N110">
        <v>399.99</v>
      </c>
      <c r="O110">
        <v>2399.94</v>
      </c>
      <c r="P110">
        <v>0.08</v>
      </c>
      <c r="Q110">
        <v>192</v>
      </c>
      <c r="R110">
        <v>2207.94</v>
      </c>
      <c r="S110">
        <v>176.64</v>
      </c>
      <c r="T110">
        <v>2384.58</v>
      </c>
      <c r="U110" t="s">
        <v>39</v>
      </c>
    </row>
    <row r="111" spans="1:21" x14ac:dyDescent="0.35">
      <c r="A111" t="s">
        <v>225</v>
      </c>
      <c r="B111" s="1">
        <v>44391</v>
      </c>
      <c r="C111">
        <v>2021</v>
      </c>
      <c r="D111" t="s">
        <v>97</v>
      </c>
      <c r="E111" t="s">
        <v>98</v>
      </c>
      <c r="F111" t="s">
        <v>35</v>
      </c>
      <c r="G111" t="s">
        <v>99</v>
      </c>
      <c r="H111" t="s">
        <v>145</v>
      </c>
      <c r="I111" t="s">
        <v>146</v>
      </c>
      <c r="J111" t="s">
        <v>47</v>
      </c>
      <c r="K111" t="s">
        <v>29</v>
      </c>
      <c r="L111" t="s">
        <v>38</v>
      </c>
      <c r="M111">
        <v>11</v>
      </c>
      <c r="N111">
        <v>129.99</v>
      </c>
      <c r="O111">
        <v>1429.89</v>
      </c>
      <c r="P111">
        <v>0.13</v>
      </c>
      <c r="Q111">
        <v>185.89</v>
      </c>
      <c r="R111">
        <v>1244</v>
      </c>
      <c r="S111">
        <v>99.52</v>
      </c>
      <c r="T111">
        <v>1343.52</v>
      </c>
      <c r="U111" t="s">
        <v>39</v>
      </c>
    </row>
    <row r="112" spans="1:21" x14ac:dyDescent="0.35">
      <c r="A112" t="s">
        <v>226</v>
      </c>
      <c r="B112" s="1">
        <v>44391</v>
      </c>
      <c r="C112">
        <v>2021</v>
      </c>
      <c r="D112" t="s">
        <v>22</v>
      </c>
      <c r="E112" t="s">
        <v>23</v>
      </c>
      <c r="F112" t="s">
        <v>24</v>
      </c>
      <c r="G112" t="s">
        <v>25</v>
      </c>
      <c r="H112" t="s">
        <v>94</v>
      </c>
      <c r="I112" t="s">
        <v>95</v>
      </c>
      <c r="J112" t="s">
        <v>56</v>
      </c>
      <c r="K112" t="s">
        <v>60</v>
      </c>
      <c r="L112" t="s">
        <v>30</v>
      </c>
      <c r="M112">
        <v>22</v>
      </c>
      <c r="N112">
        <v>349.99</v>
      </c>
      <c r="O112">
        <v>7699.78</v>
      </c>
      <c r="P112">
        <v>0.08</v>
      </c>
      <c r="Q112">
        <v>615.98</v>
      </c>
      <c r="R112">
        <v>7083.8</v>
      </c>
      <c r="S112">
        <v>566.70000000000005</v>
      </c>
      <c r="T112">
        <v>0</v>
      </c>
      <c r="U112" t="s">
        <v>31</v>
      </c>
    </row>
    <row r="113" spans="1:21" x14ac:dyDescent="0.35">
      <c r="A113" t="s">
        <v>227</v>
      </c>
      <c r="B113" s="1">
        <v>44392</v>
      </c>
      <c r="C113">
        <v>2021</v>
      </c>
      <c r="D113" t="s">
        <v>62</v>
      </c>
      <c r="E113" t="s">
        <v>63</v>
      </c>
      <c r="F113" t="s">
        <v>64</v>
      </c>
      <c r="G113" t="s">
        <v>65</v>
      </c>
      <c r="H113" t="s">
        <v>66</v>
      </c>
      <c r="I113" t="s">
        <v>67</v>
      </c>
      <c r="J113" t="s">
        <v>56</v>
      </c>
      <c r="K113" t="s">
        <v>60</v>
      </c>
      <c r="L113" t="s">
        <v>30</v>
      </c>
      <c r="M113">
        <v>13</v>
      </c>
      <c r="N113">
        <v>229.99</v>
      </c>
      <c r="O113">
        <v>2989.87</v>
      </c>
      <c r="P113">
        <v>0.05</v>
      </c>
      <c r="Q113">
        <v>149.49</v>
      </c>
      <c r="R113">
        <v>2840.38</v>
      </c>
      <c r="S113">
        <v>227.23</v>
      </c>
      <c r="T113">
        <v>3067.61</v>
      </c>
      <c r="U113" t="s">
        <v>39</v>
      </c>
    </row>
    <row r="114" spans="1:21" x14ac:dyDescent="0.35">
      <c r="A114" t="s">
        <v>228</v>
      </c>
      <c r="B114" s="1">
        <v>44399</v>
      </c>
      <c r="C114">
        <v>2021</v>
      </c>
      <c r="D114" t="s">
        <v>81</v>
      </c>
      <c r="E114" t="s">
        <v>82</v>
      </c>
      <c r="F114" t="s">
        <v>35</v>
      </c>
      <c r="G114" t="s">
        <v>83</v>
      </c>
      <c r="H114" t="s">
        <v>125</v>
      </c>
      <c r="I114" t="s">
        <v>126</v>
      </c>
      <c r="J114" t="s">
        <v>28</v>
      </c>
      <c r="K114" t="s">
        <v>37</v>
      </c>
      <c r="L114" t="s">
        <v>73</v>
      </c>
      <c r="M114">
        <v>16</v>
      </c>
      <c r="N114">
        <v>79.989999999999995</v>
      </c>
      <c r="O114">
        <v>1279.8399999999999</v>
      </c>
      <c r="P114">
        <v>0.05</v>
      </c>
      <c r="Q114">
        <v>63.99</v>
      </c>
      <c r="R114">
        <v>1215.8499999999999</v>
      </c>
      <c r="S114">
        <v>97.27</v>
      </c>
      <c r="T114">
        <v>1313.12</v>
      </c>
      <c r="U114" t="s">
        <v>111</v>
      </c>
    </row>
    <row r="115" spans="1:21" x14ac:dyDescent="0.35">
      <c r="A115" t="s">
        <v>229</v>
      </c>
      <c r="B115" s="1">
        <v>44399</v>
      </c>
      <c r="C115">
        <v>2021</v>
      </c>
      <c r="D115" t="s">
        <v>142</v>
      </c>
      <c r="E115" t="s">
        <v>143</v>
      </c>
      <c r="F115" t="s">
        <v>43</v>
      </c>
      <c r="G115" t="s">
        <v>144</v>
      </c>
      <c r="H115" t="s">
        <v>66</v>
      </c>
      <c r="I115" t="s">
        <v>67</v>
      </c>
      <c r="J115" t="s">
        <v>56</v>
      </c>
      <c r="K115" t="s">
        <v>60</v>
      </c>
      <c r="L115" t="s">
        <v>30</v>
      </c>
      <c r="M115">
        <v>3</v>
      </c>
      <c r="N115">
        <v>229.99</v>
      </c>
      <c r="O115">
        <v>689.97</v>
      </c>
      <c r="P115">
        <v>0</v>
      </c>
      <c r="Q115">
        <v>0</v>
      </c>
      <c r="R115">
        <v>689.97</v>
      </c>
      <c r="S115">
        <v>55.2</v>
      </c>
      <c r="T115">
        <v>745.17</v>
      </c>
      <c r="U115" t="s">
        <v>39</v>
      </c>
    </row>
    <row r="116" spans="1:21" x14ac:dyDescent="0.35">
      <c r="A116" t="s">
        <v>230</v>
      </c>
      <c r="B116" s="1">
        <v>44400</v>
      </c>
      <c r="C116">
        <v>2021</v>
      </c>
      <c r="D116" t="s">
        <v>22</v>
      </c>
      <c r="E116" t="s">
        <v>23</v>
      </c>
      <c r="F116" t="s">
        <v>24</v>
      </c>
      <c r="G116" t="s">
        <v>25</v>
      </c>
      <c r="H116" t="s">
        <v>128</v>
      </c>
      <c r="I116" t="s">
        <v>129</v>
      </c>
      <c r="J116" t="s">
        <v>47</v>
      </c>
      <c r="K116" t="s">
        <v>37</v>
      </c>
      <c r="L116" t="s">
        <v>49</v>
      </c>
      <c r="M116">
        <v>23</v>
      </c>
      <c r="N116">
        <v>399.99</v>
      </c>
      <c r="O116">
        <v>9199.77</v>
      </c>
      <c r="P116">
        <v>0.08</v>
      </c>
      <c r="Q116">
        <v>735.98</v>
      </c>
      <c r="R116">
        <v>8463.7900000000009</v>
      </c>
      <c r="S116">
        <v>677.1</v>
      </c>
      <c r="T116">
        <v>0</v>
      </c>
      <c r="U116" t="s">
        <v>31</v>
      </c>
    </row>
    <row r="117" spans="1:21" x14ac:dyDescent="0.35">
      <c r="A117" t="s">
        <v>231</v>
      </c>
      <c r="B117" s="1">
        <v>44404</v>
      </c>
      <c r="C117">
        <v>2021</v>
      </c>
      <c r="D117" t="s">
        <v>122</v>
      </c>
      <c r="E117" t="s">
        <v>123</v>
      </c>
      <c r="F117" t="s">
        <v>64</v>
      </c>
      <c r="G117" t="s">
        <v>124</v>
      </c>
      <c r="H117" t="s">
        <v>84</v>
      </c>
      <c r="I117" t="s">
        <v>85</v>
      </c>
      <c r="J117" t="s">
        <v>47</v>
      </c>
      <c r="K117" t="s">
        <v>29</v>
      </c>
      <c r="L117" t="s">
        <v>30</v>
      </c>
      <c r="M117">
        <v>10</v>
      </c>
      <c r="N117">
        <v>249.99</v>
      </c>
      <c r="O117">
        <v>2499.9</v>
      </c>
      <c r="P117">
        <v>0.05</v>
      </c>
      <c r="Q117">
        <v>125</v>
      </c>
      <c r="R117">
        <v>2374.9</v>
      </c>
      <c r="S117">
        <v>189.99</v>
      </c>
      <c r="T117">
        <v>0</v>
      </c>
      <c r="U117" t="s">
        <v>31</v>
      </c>
    </row>
    <row r="118" spans="1:21" x14ac:dyDescent="0.35">
      <c r="A118" t="s">
        <v>232</v>
      </c>
      <c r="B118" s="1">
        <v>44404</v>
      </c>
      <c r="C118">
        <v>2021</v>
      </c>
      <c r="D118" t="s">
        <v>91</v>
      </c>
      <c r="E118" t="s">
        <v>92</v>
      </c>
      <c r="F118" t="s">
        <v>24</v>
      </c>
      <c r="G118" t="s">
        <v>93</v>
      </c>
      <c r="H118" t="s">
        <v>128</v>
      </c>
      <c r="I118" t="s">
        <v>129</v>
      </c>
      <c r="J118" t="s">
        <v>47</v>
      </c>
      <c r="K118" t="s">
        <v>60</v>
      </c>
      <c r="L118" t="s">
        <v>49</v>
      </c>
      <c r="M118">
        <v>22</v>
      </c>
      <c r="N118">
        <v>399.99</v>
      </c>
      <c r="O118">
        <v>8799.7800000000007</v>
      </c>
      <c r="P118">
        <v>0.08</v>
      </c>
      <c r="Q118">
        <v>703.98</v>
      </c>
      <c r="R118">
        <v>8095.8</v>
      </c>
      <c r="S118">
        <v>647.66</v>
      </c>
      <c r="T118">
        <v>8743.4599999999991</v>
      </c>
      <c r="U118" t="s">
        <v>111</v>
      </c>
    </row>
    <row r="119" spans="1:21" x14ac:dyDescent="0.35">
      <c r="A119" t="s">
        <v>233</v>
      </c>
      <c r="B119" s="1">
        <v>44405</v>
      </c>
      <c r="C119">
        <v>2021</v>
      </c>
      <c r="D119" t="s">
        <v>87</v>
      </c>
      <c r="E119" t="s">
        <v>88</v>
      </c>
      <c r="F119" t="s">
        <v>24</v>
      </c>
      <c r="G119" t="s">
        <v>89</v>
      </c>
      <c r="H119" t="s">
        <v>84</v>
      </c>
      <c r="I119" t="s">
        <v>85</v>
      </c>
      <c r="J119" t="s">
        <v>47</v>
      </c>
      <c r="K119" t="s">
        <v>68</v>
      </c>
      <c r="L119" t="s">
        <v>69</v>
      </c>
      <c r="M119">
        <v>6</v>
      </c>
      <c r="N119">
        <v>249.99</v>
      </c>
      <c r="O119">
        <v>1499.94</v>
      </c>
      <c r="P119">
        <v>0</v>
      </c>
      <c r="Q119">
        <v>0</v>
      </c>
      <c r="R119">
        <v>1499.94</v>
      </c>
      <c r="S119">
        <v>120</v>
      </c>
      <c r="T119">
        <v>1619.94</v>
      </c>
      <c r="U119" t="s">
        <v>39</v>
      </c>
    </row>
    <row r="120" spans="1:21" x14ac:dyDescent="0.35">
      <c r="A120" t="s">
        <v>234</v>
      </c>
      <c r="B120" s="1">
        <v>44405</v>
      </c>
      <c r="C120">
        <v>2021</v>
      </c>
      <c r="D120" t="s">
        <v>81</v>
      </c>
      <c r="E120" t="s">
        <v>82</v>
      </c>
      <c r="F120" t="s">
        <v>35</v>
      </c>
      <c r="G120" t="s">
        <v>83</v>
      </c>
      <c r="H120" t="s">
        <v>145</v>
      </c>
      <c r="I120" t="s">
        <v>146</v>
      </c>
      <c r="J120" t="s">
        <v>47</v>
      </c>
      <c r="K120" t="s">
        <v>29</v>
      </c>
      <c r="L120" t="s">
        <v>73</v>
      </c>
      <c r="M120">
        <v>14</v>
      </c>
      <c r="N120">
        <v>129.99</v>
      </c>
      <c r="O120">
        <v>1819.86</v>
      </c>
      <c r="P120">
        <v>0.05</v>
      </c>
      <c r="Q120">
        <v>90.99</v>
      </c>
      <c r="R120">
        <v>1728.87</v>
      </c>
      <c r="S120">
        <v>138.31</v>
      </c>
      <c r="T120">
        <v>1867.18</v>
      </c>
      <c r="U120" t="s">
        <v>39</v>
      </c>
    </row>
    <row r="121" spans="1:21" x14ac:dyDescent="0.35">
      <c r="A121" t="s">
        <v>235</v>
      </c>
      <c r="B121" s="1">
        <v>44406</v>
      </c>
      <c r="C121">
        <v>2021</v>
      </c>
      <c r="D121" t="s">
        <v>107</v>
      </c>
      <c r="E121" t="s">
        <v>108</v>
      </c>
      <c r="F121" t="s">
        <v>35</v>
      </c>
      <c r="G121" t="s">
        <v>109</v>
      </c>
      <c r="H121" t="s">
        <v>78</v>
      </c>
      <c r="I121" t="s">
        <v>79</v>
      </c>
      <c r="J121" t="s">
        <v>28</v>
      </c>
      <c r="K121" t="s">
        <v>37</v>
      </c>
      <c r="L121" t="s">
        <v>30</v>
      </c>
      <c r="M121">
        <v>22</v>
      </c>
      <c r="N121">
        <v>5.99</v>
      </c>
      <c r="O121">
        <v>131.78</v>
      </c>
      <c r="P121">
        <v>0.08</v>
      </c>
      <c r="Q121">
        <v>10.54</v>
      </c>
      <c r="R121">
        <v>121.24</v>
      </c>
      <c r="S121">
        <v>9.6999999999999993</v>
      </c>
      <c r="T121">
        <v>130.94</v>
      </c>
      <c r="U121" t="s">
        <v>39</v>
      </c>
    </row>
    <row r="122" spans="1:21" x14ac:dyDescent="0.35">
      <c r="A122" t="s">
        <v>236</v>
      </c>
      <c r="B122" s="1">
        <v>44406</v>
      </c>
      <c r="C122">
        <v>2021</v>
      </c>
      <c r="D122" t="s">
        <v>148</v>
      </c>
      <c r="E122" t="s">
        <v>149</v>
      </c>
      <c r="F122" t="s">
        <v>43</v>
      </c>
      <c r="G122" t="s">
        <v>150</v>
      </c>
      <c r="H122" t="s">
        <v>84</v>
      </c>
      <c r="I122" t="s">
        <v>85</v>
      </c>
      <c r="J122" t="s">
        <v>47</v>
      </c>
      <c r="K122" t="s">
        <v>60</v>
      </c>
      <c r="L122" t="s">
        <v>69</v>
      </c>
      <c r="M122">
        <v>12</v>
      </c>
      <c r="N122">
        <v>249.99</v>
      </c>
      <c r="O122">
        <v>2999.88</v>
      </c>
      <c r="P122">
        <v>0.05</v>
      </c>
      <c r="Q122">
        <v>149.99</v>
      </c>
      <c r="R122">
        <v>2849.89</v>
      </c>
      <c r="S122">
        <v>227.99</v>
      </c>
      <c r="T122">
        <v>3077.88</v>
      </c>
      <c r="U122" t="s">
        <v>39</v>
      </c>
    </row>
    <row r="123" spans="1:21" x14ac:dyDescent="0.35">
      <c r="A123" t="s">
        <v>237</v>
      </c>
      <c r="B123" s="1">
        <v>44407</v>
      </c>
      <c r="C123">
        <v>2021</v>
      </c>
      <c r="D123" t="s">
        <v>142</v>
      </c>
      <c r="E123" t="s">
        <v>143</v>
      </c>
      <c r="F123" t="s">
        <v>43</v>
      </c>
      <c r="G123" t="s">
        <v>144</v>
      </c>
      <c r="H123" t="s">
        <v>104</v>
      </c>
      <c r="I123" t="s">
        <v>105</v>
      </c>
      <c r="J123" t="s">
        <v>47</v>
      </c>
      <c r="K123" t="s">
        <v>29</v>
      </c>
      <c r="L123" t="s">
        <v>30</v>
      </c>
      <c r="M123">
        <v>8</v>
      </c>
      <c r="N123">
        <v>479.99</v>
      </c>
      <c r="O123">
        <v>3839.92</v>
      </c>
      <c r="P123">
        <v>0</v>
      </c>
      <c r="Q123">
        <v>0</v>
      </c>
      <c r="R123">
        <v>3839.92</v>
      </c>
      <c r="S123">
        <v>307.19</v>
      </c>
      <c r="T123">
        <v>4147.1099999999997</v>
      </c>
      <c r="U123" t="s">
        <v>39</v>
      </c>
    </row>
    <row r="124" spans="1:21" x14ac:dyDescent="0.35">
      <c r="A124" t="s">
        <v>238</v>
      </c>
      <c r="B124" s="1">
        <v>44408</v>
      </c>
      <c r="C124">
        <v>2021</v>
      </c>
      <c r="D124" t="s">
        <v>107</v>
      </c>
      <c r="E124" t="s">
        <v>108</v>
      </c>
      <c r="F124" t="s">
        <v>35</v>
      </c>
      <c r="G124" t="s">
        <v>109</v>
      </c>
      <c r="H124" t="s">
        <v>125</v>
      </c>
      <c r="I124" t="s">
        <v>126</v>
      </c>
      <c r="J124" t="s">
        <v>28</v>
      </c>
      <c r="K124" t="s">
        <v>29</v>
      </c>
      <c r="L124" t="s">
        <v>73</v>
      </c>
      <c r="M124">
        <v>29</v>
      </c>
      <c r="N124">
        <v>79.989999999999995</v>
      </c>
      <c r="O124">
        <v>2319.71</v>
      </c>
      <c r="P124">
        <v>0.08</v>
      </c>
      <c r="Q124">
        <v>185.58</v>
      </c>
      <c r="R124">
        <v>2134.13</v>
      </c>
      <c r="S124">
        <v>170.73</v>
      </c>
      <c r="T124">
        <v>2304.86</v>
      </c>
      <c r="U124" t="s">
        <v>39</v>
      </c>
    </row>
    <row r="125" spans="1:21" x14ac:dyDescent="0.35">
      <c r="A125" t="s">
        <v>239</v>
      </c>
      <c r="B125" s="1">
        <v>44409</v>
      </c>
      <c r="C125">
        <v>2021</v>
      </c>
      <c r="D125" t="s">
        <v>107</v>
      </c>
      <c r="E125" t="s">
        <v>108</v>
      </c>
      <c r="F125" t="s">
        <v>35</v>
      </c>
      <c r="G125" t="s">
        <v>109</v>
      </c>
      <c r="H125" t="s">
        <v>128</v>
      </c>
      <c r="I125" t="s">
        <v>129</v>
      </c>
      <c r="J125" t="s">
        <v>47</v>
      </c>
      <c r="K125" t="s">
        <v>37</v>
      </c>
      <c r="L125" t="s">
        <v>30</v>
      </c>
      <c r="M125">
        <v>9</v>
      </c>
      <c r="N125">
        <v>399.99</v>
      </c>
      <c r="O125">
        <v>3599.91</v>
      </c>
      <c r="P125">
        <v>0</v>
      </c>
      <c r="Q125">
        <v>0</v>
      </c>
      <c r="R125">
        <v>3599.91</v>
      </c>
      <c r="S125">
        <v>287.99</v>
      </c>
      <c r="T125">
        <v>3887.9</v>
      </c>
      <c r="U125" t="s">
        <v>111</v>
      </c>
    </row>
    <row r="126" spans="1:21" x14ac:dyDescent="0.35">
      <c r="A126" t="s">
        <v>240</v>
      </c>
      <c r="B126" s="1">
        <v>44409</v>
      </c>
      <c r="C126">
        <v>2021</v>
      </c>
      <c r="D126" t="s">
        <v>75</v>
      </c>
      <c r="E126" t="s">
        <v>76</v>
      </c>
      <c r="F126" t="s">
        <v>64</v>
      </c>
      <c r="G126" t="s">
        <v>77</v>
      </c>
      <c r="H126" t="s">
        <v>78</v>
      </c>
      <c r="I126" t="s">
        <v>79</v>
      </c>
      <c r="J126" t="s">
        <v>28</v>
      </c>
      <c r="K126" t="s">
        <v>68</v>
      </c>
      <c r="L126" t="s">
        <v>49</v>
      </c>
      <c r="M126">
        <v>24</v>
      </c>
      <c r="N126">
        <v>5.99</v>
      </c>
      <c r="O126">
        <v>143.76</v>
      </c>
      <c r="P126">
        <v>0.08</v>
      </c>
      <c r="Q126">
        <v>11.5</v>
      </c>
      <c r="R126">
        <v>132.26</v>
      </c>
      <c r="S126">
        <v>10.58</v>
      </c>
      <c r="T126">
        <v>142.84</v>
      </c>
      <c r="U126" t="s">
        <v>39</v>
      </c>
    </row>
    <row r="127" spans="1:21" x14ac:dyDescent="0.35">
      <c r="A127" t="s">
        <v>241</v>
      </c>
      <c r="B127" s="1">
        <v>44410</v>
      </c>
      <c r="C127">
        <v>2021</v>
      </c>
      <c r="D127" t="s">
        <v>33</v>
      </c>
      <c r="E127" t="s">
        <v>34</v>
      </c>
      <c r="F127" t="s">
        <v>35</v>
      </c>
      <c r="G127" t="s">
        <v>36</v>
      </c>
      <c r="H127" t="s">
        <v>58</v>
      </c>
      <c r="I127" t="s">
        <v>59</v>
      </c>
      <c r="J127" t="s">
        <v>56</v>
      </c>
      <c r="K127" t="s">
        <v>29</v>
      </c>
      <c r="L127" t="s">
        <v>69</v>
      </c>
      <c r="M127">
        <v>25</v>
      </c>
      <c r="N127">
        <v>599.99</v>
      </c>
      <c r="O127">
        <v>14999.75</v>
      </c>
      <c r="P127">
        <v>0.08</v>
      </c>
      <c r="Q127">
        <v>1199.98</v>
      </c>
      <c r="R127">
        <v>13799.77</v>
      </c>
      <c r="S127">
        <v>1103.98</v>
      </c>
      <c r="T127">
        <v>0</v>
      </c>
      <c r="U127" t="s">
        <v>31</v>
      </c>
    </row>
    <row r="128" spans="1:21" x14ac:dyDescent="0.35">
      <c r="A128" t="s">
        <v>242</v>
      </c>
      <c r="B128" s="1">
        <v>44411</v>
      </c>
      <c r="C128">
        <v>2021</v>
      </c>
      <c r="D128" t="s">
        <v>186</v>
      </c>
      <c r="E128" t="s">
        <v>187</v>
      </c>
      <c r="F128" t="s">
        <v>43</v>
      </c>
      <c r="G128" t="s">
        <v>188</v>
      </c>
      <c r="H128" t="s">
        <v>94</v>
      </c>
      <c r="I128" t="s">
        <v>95</v>
      </c>
      <c r="J128" t="s">
        <v>56</v>
      </c>
      <c r="K128" t="s">
        <v>48</v>
      </c>
      <c r="L128" t="s">
        <v>69</v>
      </c>
      <c r="M128">
        <v>3</v>
      </c>
      <c r="N128">
        <v>349.99</v>
      </c>
      <c r="O128">
        <v>1049.97</v>
      </c>
      <c r="P128">
        <v>0</v>
      </c>
      <c r="Q128">
        <v>0</v>
      </c>
      <c r="R128">
        <v>1049.97</v>
      </c>
      <c r="S128">
        <v>84</v>
      </c>
      <c r="T128">
        <v>0</v>
      </c>
      <c r="U128" t="s">
        <v>31</v>
      </c>
    </row>
    <row r="129" spans="1:21" x14ac:dyDescent="0.35">
      <c r="A129" t="s">
        <v>243</v>
      </c>
      <c r="B129" s="1">
        <v>44412</v>
      </c>
      <c r="C129">
        <v>2021</v>
      </c>
      <c r="D129" t="s">
        <v>122</v>
      </c>
      <c r="E129" t="s">
        <v>123</v>
      </c>
      <c r="F129" t="s">
        <v>64</v>
      </c>
      <c r="G129" t="s">
        <v>124</v>
      </c>
      <c r="H129" t="s">
        <v>26</v>
      </c>
      <c r="I129" t="s">
        <v>27</v>
      </c>
      <c r="J129" t="s">
        <v>28</v>
      </c>
      <c r="K129" t="s">
        <v>37</v>
      </c>
      <c r="L129" t="s">
        <v>30</v>
      </c>
      <c r="M129">
        <v>7</v>
      </c>
      <c r="N129">
        <v>8.99</v>
      </c>
      <c r="O129">
        <v>62.93</v>
      </c>
      <c r="P129">
        <v>0</v>
      </c>
      <c r="Q129">
        <v>0</v>
      </c>
      <c r="R129">
        <v>62.93</v>
      </c>
      <c r="S129">
        <v>5.03</v>
      </c>
      <c r="T129">
        <v>67.959999999999994</v>
      </c>
      <c r="U129" t="s">
        <v>39</v>
      </c>
    </row>
    <row r="130" spans="1:21" x14ac:dyDescent="0.35">
      <c r="A130" t="s">
        <v>244</v>
      </c>
      <c r="B130" s="1">
        <v>44412</v>
      </c>
      <c r="C130">
        <v>2021</v>
      </c>
      <c r="D130" t="s">
        <v>87</v>
      </c>
      <c r="E130" t="s">
        <v>88</v>
      </c>
      <c r="F130" t="s">
        <v>24</v>
      </c>
      <c r="G130" t="s">
        <v>89</v>
      </c>
      <c r="H130" t="s">
        <v>26</v>
      </c>
      <c r="I130" t="s">
        <v>27</v>
      </c>
      <c r="J130" t="s">
        <v>28</v>
      </c>
      <c r="K130" t="s">
        <v>60</v>
      </c>
      <c r="L130" t="s">
        <v>38</v>
      </c>
      <c r="M130">
        <v>7</v>
      </c>
      <c r="N130">
        <v>8.99</v>
      </c>
      <c r="O130">
        <v>62.93</v>
      </c>
      <c r="P130">
        <v>0.08</v>
      </c>
      <c r="Q130">
        <v>5.03</v>
      </c>
      <c r="R130">
        <v>57.9</v>
      </c>
      <c r="S130">
        <v>4.63</v>
      </c>
      <c r="T130">
        <v>62.53</v>
      </c>
      <c r="U130" t="s">
        <v>39</v>
      </c>
    </row>
    <row r="131" spans="1:21" x14ac:dyDescent="0.35">
      <c r="A131" t="s">
        <v>245</v>
      </c>
      <c r="B131" s="1">
        <v>44414</v>
      </c>
      <c r="C131">
        <v>2021</v>
      </c>
      <c r="D131" t="s">
        <v>41</v>
      </c>
      <c r="E131" t="s">
        <v>42</v>
      </c>
      <c r="F131" t="s">
        <v>43</v>
      </c>
      <c r="G131" t="s">
        <v>44</v>
      </c>
      <c r="H131" t="s">
        <v>100</v>
      </c>
      <c r="I131" t="s">
        <v>101</v>
      </c>
      <c r="J131" t="s">
        <v>47</v>
      </c>
      <c r="K131" t="s">
        <v>37</v>
      </c>
      <c r="L131" t="s">
        <v>30</v>
      </c>
      <c r="M131">
        <v>21</v>
      </c>
      <c r="N131">
        <v>29.99</v>
      </c>
      <c r="O131">
        <v>629.79</v>
      </c>
      <c r="P131">
        <v>0.08</v>
      </c>
      <c r="Q131">
        <v>50.38</v>
      </c>
      <c r="R131">
        <v>579.41</v>
      </c>
      <c r="S131">
        <v>46.35</v>
      </c>
      <c r="T131">
        <v>625.76</v>
      </c>
      <c r="U131" t="s">
        <v>39</v>
      </c>
    </row>
    <row r="132" spans="1:21" x14ac:dyDescent="0.35">
      <c r="A132" t="s">
        <v>246</v>
      </c>
      <c r="B132" s="1">
        <v>44416</v>
      </c>
      <c r="C132">
        <v>2021</v>
      </c>
      <c r="D132" t="s">
        <v>87</v>
      </c>
      <c r="E132" t="s">
        <v>88</v>
      </c>
      <c r="F132" t="s">
        <v>24</v>
      </c>
      <c r="G132" t="s">
        <v>89</v>
      </c>
      <c r="H132" t="s">
        <v>78</v>
      </c>
      <c r="I132" t="s">
        <v>79</v>
      </c>
      <c r="J132" t="s">
        <v>28</v>
      </c>
      <c r="K132" t="s">
        <v>48</v>
      </c>
      <c r="L132" t="s">
        <v>49</v>
      </c>
      <c r="M132">
        <v>19</v>
      </c>
      <c r="N132">
        <v>5.99</v>
      </c>
      <c r="O132">
        <v>113.81</v>
      </c>
      <c r="P132">
        <v>0.05</v>
      </c>
      <c r="Q132">
        <v>5.69</v>
      </c>
      <c r="R132">
        <v>108.12</v>
      </c>
      <c r="S132">
        <v>8.65</v>
      </c>
      <c r="T132">
        <v>116.77</v>
      </c>
      <c r="U132" t="s">
        <v>111</v>
      </c>
    </row>
    <row r="133" spans="1:21" x14ac:dyDescent="0.35">
      <c r="A133" t="s">
        <v>247</v>
      </c>
      <c r="B133" s="1">
        <v>44417</v>
      </c>
      <c r="C133">
        <v>2021</v>
      </c>
      <c r="D133" t="s">
        <v>148</v>
      </c>
      <c r="E133" t="s">
        <v>149</v>
      </c>
      <c r="F133" t="s">
        <v>43</v>
      </c>
      <c r="G133" t="s">
        <v>150</v>
      </c>
      <c r="H133" t="s">
        <v>54</v>
      </c>
      <c r="I133" t="s">
        <v>55</v>
      </c>
      <c r="J133" t="s">
        <v>56</v>
      </c>
      <c r="K133" t="s">
        <v>68</v>
      </c>
      <c r="L133" t="s">
        <v>49</v>
      </c>
      <c r="M133">
        <v>7</v>
      </c>
      <c r="N133">
        <v>39.99</v>
      </c>
      <c r="O133">
        <v>279.93</v>
      </c>
      <c r="P133">
        <v>0</v>
      </c>
      <c r="Q133">
        <v>0</v>
      </c>
      <c r="R133">
        <v>279.93</v>
      </c>
      <c r="S133">
        <v>22.39</v>
      </c>
      <c r="T133">
        <v>302.32</v>
      </c>
      <c r="U133" t="s">
        <v>39</v>
      </c>
    </row>
    <row r="134" spans="1:21" x14ac:dyDescent="0.35">
      <c r="A134" t="s">
        <v>248</v>
      </c>
      <c r="B134" s="1">
        <v>44419</v>
      </c>
      <c r="C134">
        <v>2021</v>
      </c>
      <c r="D134" t="s">
        <v>122</v>
      </c>
      <c r="E134" t="s">
        <v>123</v>
      </c>
      <c r="F134" t="s">
        <v>64</v>
      </c>
      <c r="G134" t="s">
        <v>124</v>
      </c>
      <c r="H134" t="s">
        <v>100</v>
      </c>
      <c r="I134" t="s">
        <v>101</v>
      </c>
      <c r="J134" t="s">
        <v>47</v>
      </c>
      <c r="K134" t="s">
        <v>37</v>
      </c>
      <c r="L134" t="s">
        <v>38</v>
      </c>
      <c r="M134">
        <v>5</v>
      </c>
      <c r="N134">
        <v>29.99</v>
      </c>
      <c r="O134">
        <v>149.94999999999999</v>
      </c>
      <c r="P134">
        <v>0.08</v>
      </c>
      <c r="Q134">
        <v>12</v>
      </c>
      <c r="R134">
        <v>137.94999999999999</v>
      </c>
      <c r="S134">
        <v>11.04</v>
      </c>
      <c r="T134">
        <v>148.99</v>
      </c>
      <c r="U134" t="s">
        <v>111</v>
      </c>
    </row>
    <row r="135" spans="1:21" x14ac:dyDescent="0.35">
      <c r="A135" t="s">
        <v>249</v>
      </c>
      <c r="B135" s="1">
        <v>44419</v>
      </c>
      <c r="C135">
        <v>2021</v>
      </c>
      <c r="D135" t="s">
        <v>62</v>
      </c>
      <c r="E135" t="s">
        <v>63</v>
      </c>
      <c r="F135" t="s">
        <v>64</v>
      </c>
      <c r="G135" t="s">
        <v>65</v>
      </c>
      <c r="H135" t="s">
        <v>94</v>
      </c>
      <c r="I135" t="s">
        <v>95</v>
      </c>
      <c r="J135" t="s">
        <v>56</v>
      </c>
      <c r="K135" t="s">
        <v>37</v>
      </c>
      <c r="L135" t="s">
        <v>73</v>
      </c>
      <c r="M135">
        <v>3</v>
      </c>
      <c r="N135">
        <v>349.99</v>
      </c>
      <c r="O135">
        <v>1049.97</v>
      </c>
      <c r="P135">
        <v>0</v>
      </c>
      <c r="Q135">
        <v>0</v>
      </c>
      <c r="R135">
        <v>1049.97</v>
      </c>
      <c r="S135">
        <v>84</v>
      </c>
      <c r="T135">
        <v>1133.97</v>
      </c>
      <c r="U135" t="s">
        <v>111</v>
      </c>
    </row>
    <row r="136" spans="1:21" x14ac:dyDescent="0.35">
      <c r="A136" t="s">
        <v>250</v>
      </c>
      <c r="B136" s="1">
        <v>44420</v>
      </c>
      <c r="C136">
        <v>2021</v>
      </c>
      <c r="D136" t="s">
        <v>186</v>
      </c>
      <c r="E136" t="s">
        <v>187</v>
      </c>
      <c r="F136" t="s">
        <v>43</v>
      </c>
      <c r="G136" t="s">
        <v>188</v>
      </c>
      <c r="H136" t="s">
        <v>66</v>
      </c>
      <c r="I136" t="s">
        <v>67</v>
      </c>
      <c r="J136" t="s">
        <v>56</v>
      </c>
      <c r="K136" t="s">
        <v>29</v>
      </c>
      <c r="L136" t="s">
        <v>38</v>
      </c>
      <c r="M136">
        <v>9</v>
      </c>
      <c r="N136">
        <v>229.99</v>
      </c>
      <c r="O136">
        <v>2069.91</v>
      </c>
      <c r="P136">
        <v>0.08</v>
      </c>
      <c r="Q136">
        <v>165.59</v>
      </c>
      <c r="R136">
        <v>1904.32</v>
      </c>
      <c r="S136">
        <v>152.35</v>
      </c>
      <c r="T136">
        <v>2056.67</v>
      </c>
      <c r="U136" t="s">
        <v>39</v>
      </c>
    </row>
    <row r="137" spans="1:21" x14ac:dyDescent="0.35">
      <c r="A137" t="s">
        <v>251</v>
      </c>
      <c r="B137" s="1">
        <v>44420</v>
      </c>
      <c r="C137">
        <v>2021</v>
      </c>
      <c r="D137" t="s">
        <v>87</v>
      </c>
      <c r="E137" t="s">
        <v>88</v>
      </c>
      <c r="F137" t="s">
        <v>24</v>
      </c>
      <c r="G137" t="s">
        <v>89</v>
      </c>
      <c r="H137" t="s">
        <v>128</v>
      </c>
      <c r="I137" t="s">
        <v>129</v>
      </c>
      <c r="J137" t="s">
        <v>47</v>
      </c>
      <c r="K137" t="s">
        <v>60</v>
      </c>
      <c r="L137" t="s">
        <v>49</v>
      </c>
      <c r="M137">
        <v>19</v>
      </c>
      <c r="N137">
        <v>399.99</v>
      </c>
      <c r="O137">
        <v>7599.81</v>
      </c>
      <c r="P137">
        <v>0.05</v>
      </c>
      <c r="Q137">
        <v>379.99</v>
      </c>
      <c r="R137">
        <v>7219.82</v>
      </c>
      <c r="S137">
        <v>577.59</v>
      </c>
      <c r="T137">
        <v>7797.41</v>
      </c>
      <c r="U137" t="s">
        <v>39</v>
      </c>
    </row>
    <row r="138" spans="1:21" x14ac:dyDescent="0.35">
      <c r="A138" t="s">
        <v>252</v>
      </c>
      <c r="B138" s="1">
        <v>44421</v>
      </c>
      <c r="C138">
        <v>2021</v>
      </c>
      <c r="D138" t="s">
        <v>122</v>
      </c>
      <c r="E138" t="s">
        <v>123</v>
      </c>
      <c r="F138" t="s">
        <v>64</v>
      </c>
      <c r="G138" t="s">
        <v>124</v>
      </c>
      <c r="H138" t="s">
        <v>78</v>
      </c>
      <c r="I138" t="s">
        <v>79</v>
      </c>
      <c r="J138" t="s">
        <v>28</v>
      </c>
      <c r="K138" t="s">
        <v>37</v>
      </c>
      <c r="L138" t="s">
        <v>30</v>
      </c>
      <c r="M138">
        <v>16</v>
      </c>
      <c r="N138">
        <v>5.99</v>
      </c>
      <c r="O138">
        <v>95.84</v>
      </c>
      <c r="P138">
        <v>0.05</v>
      </c>
      <c r="Q138">
        <v>4.79</v>
      </c>
      <c r="R138">
        <v>91.05</v>
      </c>
      <c r="S138">
        <v>7.28</v>
      </c>
      <c r="T138">
        <v>0</v>
      </c>
      <c r="U138" t="s">
        <v>31</v>
      </c>
    </row>
    <row r="139" spans="1:21" x14ac:dyDescent="0.35">
      <c r="A139" t="s">
        <v>253</v>
      </c>
      <c r="B139" s="1">
        <v>44423</v>
      </c>
      <c r="C139">
        <v>2021</v>
      </c>
      <c r="D139" t="s">
        <v>186</v>
      </c>
      <c r="E139" t="s">
        <v>187</v>
      </c>
      <c r="F139" t="s">
        <v>43</v>
      </c>
      <c r="G139" t="s">
        <v>188</v>
      </c>
      <c r="H139" t="s">
        <v>66</v>
      </c>
      <c r="I139" t="s">
        <v>67</v>
      </c>
      <c r="J139" t="s">
        <v>56</v>
      </c>
      <c r="K139" t="s">
        <v>48</v>
      </c>
      <c r="L139" t="s">
        <v>49</v>
      </c>
      <c r="M139">
        <v>15</v>
      </c>
      <c r="N139">
        <v>229.99</v>
      </c>
      <c r="O139">
        <v>3449.85</v>
      </c>
      <c r="P139">
        <v>0.05</v>
      </c>
      <c r="Q139">
        <v>172.49</v>
      </c>
      <c r="R139">
        <v>3277.36</v>
      </c>
      <c r="S139">
        <v>262.19</v>
      </c>
      <c r="T139">
        <v>3539.55</v>
      </c>
      <c r="U139" t="s">
        <v>39</v>
      </c>
    </row>
    <row r="140" spans="1:21" x14ac:dyDescent="0.35">
      <c r="A140" t="s">
        <v>254</v>
      </c>
      <c r="B140" s="1">
        <v>44423</v>
      </c>
      <c r="C140">
        <v>2021</v>
      </c>
      <c r="D140" t="s">
        <v>87</v>
      </c>
      <c r="E140" t="s">
        <v>88</v>
      </c>
      <c r="F140" t="s">
        <v>24</v>
      </c>
      <c r="G140" t="s">
        <v>89</v>
      </c>
      <c r="H140" t="s">
        <v>84</v>
      </c>
      <c r="I140" t="s">
        <v>85</v>
      </c>
      <c r="J140" t="s">
        <v>47</v>
      </c>
      <c r="K140" t="s">
        <v>48</v>
      </c>
      <c r="L140" t="s">
        <v>30</v>
      </c>
      <c r="M140">
        <v>25</v>
      </c>
      <c r="N140">
        <v>249.99</v>
      </c>
      <c r="O140">
        <v>6249.75</v>
      </c>
      <c r="P140">
        <v>0.08</v>
      </c>
      <c r="Q140">
        <v>499.98</v>
      </c>
      <c r="R140">
        <v>5749.77</v>
      </c>
      <c r="S140">
        <v>459.98</v>
      </c>
      <c r="T140">
        <v>6209.75</v>
      </c>
      <c r="U140" t="s">
        <v>39</v>
      </c>
    </row>
    <row r="141" spans="1:21" x14ac:dyDescent="0.35">
      <c r="A141" t="s">
        <v>255</v>
      </c>
      <c r="B141" s="1">
        <v>44427</v>
      </c>
      <c r="C141">
        <v>2021</v>
      </c>
      <c r="D141" t="s">
        <v>148</v>
      </c>
      <c r="E141" t="s">
        <v>149</v>
      </c>
      <c r="F141" t="s">
        <v>43</v>
      </c>
      <c r="G141" t="s">
        <v>150</v>
      </c>
      <c r="H141" t="s">
        <v>26</v>
      </c>
      <c r="I141" t="s">
        <v>27</v>
      </c>
      <c r="J141" t="s">
        <v>28</v>
      </c>
      <c r="K141" t="s">
        <v>29</v>
      </c>
      <c r="L141" t="s">
        <v>69</v>
      </c>
      <c r="M141">
        <v>29</v>
      </c>
      <c r="N141">
        <v>8.99</v>
      </c>
      <c r="O141">
        <v>260.70999999999998</v>
      </c>
      <c r="P141">
        <v>0.08</v>
      </c>
      <c r="Q141">
        <v>20.86</v>
      </c>
      <c r="R141">
        <v>239.85</v>
      </c>
      <c r="S141">
        <v>19.190000000000001</v>
      </c>
      <c r="T141">
        <v>259.04000000000002</v>
      </c>
      <c r="U141" t="s">
        <v>39</v>
      </c>
    </row>
    <row r="142" spans="1:21" x14ac:dyDescent="0.35">
      <c r="A142" t="s">
        <v>256</v>
      </c>
      <c r="B142" s="1">
        <v>44427</v>
      </c>
      <c r="C142">
        <v>2021</v>
      </c>
      <c r="D142" t="s">
        <v>186</v>
      </c>
      <c r="E142" t="s">
        <v>187</v>
      </c>
      <c r="F142" t="s">
        <v>43</v>
      </c>
      <c r="G142" t="s">
        <v>188</v>
      </c>
      <c r="H142" t="s">
        <v>45</v>
      </c>
      <c r="I142" t="s">
        <v>46</v>
      </c>
      <c r="J142" t="s">
        <v>47</v>
      </c>
      <c r="K142" t="s">
        <v>48</v>
      </c>
      <c r="L142" t="s">
        <v>73</v>
      </c>
      <c r="M142">
        <v>13</v>
      </c>
      <c r="N142">
        <v>89.99</v>
      </c>
      <c r="O142">
        <v>1169.8699999999999</v>
      </c>
      <c r="P142">
        <v>0.05</v>
      </c>
      <c r="Q142">
        <v>58.49</v>
      </c>
      <c r="R142">
        <v>1111.3800000000001</v>
      </c>
      <c r="S142">
        <v>88.91</v>
      </c>
      <c r="T142">
        <v>0</v>
      </c>
      <c r="U142" t="s">
        <v>31</v>
      </c>
    </row>
    <row r="143" spans="1:21" x14ac:dyDescent="0.35">
      <c r="A143" t="s">
        <v>257</v>
      </c>
      <c r="B143" s="1">
        <v>44430</v>
      </c>
      <c r="C143">
        <v>2021</v>
      </c>
      <c r="D143" t="s">
        <v>33</v>
      </c>
      <c r="E143" t="s">
        <v>34</v>
      </c>
      <c r="F143" t="s">
        <v>35</v>
      </c>
      <c r="G143" t="s">
        <v>36</v>
      </c>
      <c r="H143" t="s">
        <v>104</v>
      </c>
      <c r="I143" t="s">
        <v>105</v>
      </c>
      <c r="J143" t="s">
        <v>47</v>
      </c>
      <c r="K143" t="s">
        <v>60</v>
      </c>
      <c r="L143" t="s">
        <v>69</v>
      </c>
      <c r="M143">
        <v>30</v>
      </c>
      <c r="N143">
        <v>479.99</v>
      </c>
      <c r="O143">
        <v>14399.7</v>
      </c>
      <c r="P143">
        <v>0.08</v>
      </c>
      <c r="Q143">
        <v>1151.98</v>
      </c>
      <c r="R143">
        <v>13247.72</v>
      </c>
      <c r="S143">
        <v>1059.82</v>
      </c>
      <c r="T143">
        <v>0</v>
      </c>
      <c r="U143" t="s">
        <v>31</v>
      </c>
    </row>
    <row r="144" spans="1:21" x14ac:dyDescent="0.35">
      <c r="A144" t="s">
        <v>258</v>
      </c>
      <c r="B144" s="1">
        <v>44434</v>
      </c>
      <c r="C144">
        <v>2021</v>
      </c>
      <c r="D144" t="s">
        <v>148</v>
      </c>
      <c r="E144" t="s">
        <v>149</v>
      </c>
      <c r="F144" t="s">
        <v>43</v>
      </c>
      <c r="G144" t="s">
        <v>150</v>
      </c>
      <c r="H144" t="s">
        <v>125</v>
      </c>
      <c r="I144" t="s">
        <v>126</v>
      </c>
      <c r="J144" t="s">
        <v>28</v>
      </c>
      <c r="K144" t="s">
        <v>68</v>
      </c>
      <c r="L144" t="s">
        <v>38</v>
      </c>
      <c r="M144">
        <v>26</v>
      </c>
      <c r="N144">
        <v>79.989999999999995</v>
      </c>
      <c r="O144">
        <v>2079.7399999999998</v>
      </c>
      <c r="P144">
        <v>0.16</v>
      </c>
      <c r="Q144">
        <v>332.76</v>
      </c>
      <c r="R144">
        <v>1746.98</v>
      </c>
      <c r="S144">
        <v>139.76</v>
      </c>
      <c r="T144">
        <v>1886.74</v>
      </c>
      <c r="U144" t="s">
        <v>39</v>
      </c>
    </row>
    <row r="145" spans="1:21" x14ac:dyDescent="0.35">
      <c r="A145" t="s">
        <v>259</v>
      </c>
      <c r="B145" s="1">
        <v>44436</v>
      </c>
      <c r="C145">
        <v>2021</v>
      </c>
      <c r="D145" t="s">
        <v>62</v>
      </c>
      <c r="E145" t="s">
        <v>63</v>
      </c>
      <c r="F145" t="s">
        <v>64</v>
      </c>
      <c r="G145" t="s">
        <v>65</v>
      </c>
      <c r="H145" t="s">
        <v>100</v>
      </c>
      <c r="I145" t="s">
        <v>101</v>
      </c>
      <c r="J145" t="s">
        <v>47</v>
      </c>
      <c r="K145" t="s">
        <v>60</v>
      </c>
      <c r="L145" t="s">
        <v>49</v>
      </c>
      <c r="M145">
        <v>14</v>
      </c>
      <c r="N145">
        <v>29.99</v>
      </c>
      <c r="O145">
        <v>419.86</v>
      </c>
      <c r="P145">
        <v>0.05</v>
      </c>
      <c r="Q145">
        <v>20.99</v>
      </c>
      <c r="R145">
        <v>398.87</v>
      </c>
      <c r="S145">
        <v>31.91</v>
      </c>
      <c r="T145">
        <v>430.78</v>
      </c>
      <c r="U145" t="s">
        <v>39</v>
      </c>
    </row>
    <row r="146" spans="1:21" x14ac:dyDescent="0.35">
      <c r="A146" t="s">
        <v>260</v>
      </c>
      <c r="B146" s="1">
        <v>44437</v>
      </c>
      <c r="C146">
        <v>2021</v>
      </c>
      <c r="D146" t="s">
        <v>75</v>
      </c>
      <c r="E146" t="s">
        <v>76</v>
      </c>
      <c r="F146" t="s">
        <v>64</v>
      </c>
      <c r="G146" t="s">
        <v>77</v>
      </c>
      <c r="H146" t="s">
        <v>58</v>
      </c>
      <c r="I146" t="s">
        <v>59</v>
      </c>
      <c r="J146" t="s">
        <v>56</v>
      </c>
      <c r="K146" t="s">
        <v>68</v>
      </c>
      <c r="L146" t="s">
        <v>38</v>
      </c>
      <c r="M146">
        <v>28</v>
      </c>
      <c r="N146">
        <v>599.99</v>
      </c>
      <c r="O146">
        <v>16799.72</v>
      </c>
      <c r="P146">
        <v>0.16</v>
      </c>
      <c r="Q146">
        <v>2687.96</v>
      </c>
      <c r="R146">
        <v>14111.76</v>
      </c>
      <c r="S146">
        <v>1128.94</v>
      </c>
      <c r="T146">
        <v>15240.7</v>
      </c>
      <c r="U146" t="s">
        <v>39</v>
      </c>
    </row>
    <row r="147" spans="1:21" x14ac:dyDescent="0.35">
      <c r="A147" t="s">
        <v>261</v>
      </c>
      <c r="B147" s="1">
        <v>44441</v>
      </c>
      <c r="C147">
        <v>2021</v>
      </c>
      <c r="D147" t="s">
        <v>107</v>
      </c>
      <c r="E147" t="s">
        <v>108</v>
      </c>
      <c r="F147" t="s">
        <v>35</v>
      </c>
      <c r="G147" t="s">
        <v>109</v>
      </c>
      <c r="H147" t="s">
        <v>145</v>
      </c>
      <c r="I147" t="s">
        <v>146</v>
      </c>
      <c r="J147" t="s">
        <v>47</v>
      </c>
      <c r="K147" t="s">
        <v>48</v>
      </c>
      <c r="L147" t="s">
        <v>69</v>
      </c>
      <c r="M147">
        <v>13</v>
      </c>
      <c r="N147">
        <v>129.99</v>
      </c>
      <c r="O147">
        <v>1689.87</v>
      </c>
      <c r="P147">
        <v>0.05</v>
      </c>
      <c r="Q147">
        <v>84.49</v>
      </c>
      <c r="R147">
        <v>1605.38</v>
      </c>
      <c r="S147">
        <v>128.43</v>
      </c>
      <c r="T147">
        <v>0</v>
      </c>
      <c r="U147" t="s">
        <v>31</v>
      </c>
    </row>
    <row r="148" spans="1:21" x14ac:dyDescent="0.35">
      <c r="A148" t="s">
        <v>262</v>
      </c>
      <c r="B148" s="1">
        <v>44444</v>
      </c>
      <c r="C148">
        <v>2021</v>
      </c>
      <c r="D148" t="s">
        <v>81</v>
      </c>
      <c r="E148" t="s">
        <v>82</v>
      </c>
      <c r="F148" t="s">
        <v>35</v>
      </c>
      <c r="G148" t="s">
        <v>83</v>
      </c>
      <c r="H148" t="s">
        <v>66</v>
      </c>
      <c r="I148" t="s">
        <v>67</v>
      </c>
      <c r="J148" t="s">
        <v>56</v>
      </c>
      <c r="K148" t="s">
        <v>29</v>
      </c>
      <c r="L148" t="s">
        <v>73</v>
      </c>
      <c r="M148">
        <v>24</v>
      </c>
      <c r="N148">
        <v>229.99</v>
      </c>
      <c r="O148">
        <v>5519.76</v>
      </c>
      <c r="P148">
        <v>0.08</v>
      </c>
      <c r="Q148">
        <v>441.58</v>
      </c>
      <c r="R148">
        <v>5078.18</v>
      </c>
      <c r="S148">
        <v>406.25</v>
      </c>
      <c r="T148">
        <v>5484.43</v>
      </c>
      <c r="U148" t="s">
        <v>39</v>
      </c>
    </row>
    <row r="149" spans="1:21" x14ac:dyDescent="0.35">
      <c r="A149" t="s">
        <v>263</v>
      </c>
      <c r="B149" s="1">
        <v>44444</v>
      </c>
      <c r="C149">
        <v>2021</v>
      </c>
      <c r="D149" t="s">
        <v>62</v>
      </c>
      <c r="E149" t="s">
        <v>63</v>
      </c>
      <c r="F149" t="s">
        <v>64</v>
      </c>
      <c r="G149" t="s">
        <v>65</v>
      </c>
      <c r="H149" t="s">
        <v>45</v>
      </c>
      <c r="I149" t="s">
        <v>46</v>
      </c>
      <c r="J149" t="s">
        <v>47</v>
      </c>
      <c r="K149" t="s">
        <v>60</v>
      </c>
      <c r="L149" t="s">
        <v>73</v>
      </c>
      <c r="M149">
        <v>18</v>
      </c>
      <c r="N149">
        <v>89.99</v>
      </c>
      <c r="O149">
        <v>1619.82</v>
      </c>
      <c r="P149">
        <v>0.05</v>
      </c>
      <c r="Q149">
        <v>80.989999999999995</v>
      </c>
      <c r="R149">
        <v>1538.83</v>
      </c>
      <c r="S149">
        <v>123.11</v>
      </c>
      <c r="T149">
        <v>1661.94</v>
      </c>
      <c r="U149" t="s">
        <v>39</v>
      </c>
    </row>
    <row r="150" spans="1:21" x14ac:dyDescent="0.35">
      <c r="A150" t="s">
        <v>264</v>
      </c>
      <c r="B150" s="1">
        <v>44444</v>
      </c>
      <c r="C150">
        <v>2021</v>
      </c>
      <c r="D150" t="s">
        <v>51</v>
      </c>
      <c r="E150" t="s">
        <v>52</v>
      </c>
      <c r="F150" t="s">
        <v>24</v>
      </c>
      <c r="G150" t="s">
        <v>53</v>
      </c>
      <c r="H150" t="s">
        <v>78</v>
      </c>
      <c r="I150" t="s">
        <v>79</v>
      </c>
      <c r="J150" t="s">
        <v>28</v>
      </c>
      <c r="K150" t="s">
        <v>60</v>
      </c>
      <c r="L150" t="s">
        <v>49</v>
      </c>
      <c r="M150">
        <v>13</v>
      </c>
      <c r="N150">
        <v>5.99</v>
      </c>
      <c r="O150">
        <v>77.87</v>
      </c>
      <c r="P150">
        <v>0.05</v>
      </c>
      <c r="Q150">
        <v>3.89</v>
      </c>
      <c r="R150">
        <v>73.98</v>
      </c>
      <c r="S150">
        <v>5.92</v>
      </c>
      <c r="T150">
        <v>79.900000000000006</v>
      </c>
      <c r="U150" t="s">
        <v>39</v>
      </c>
    </row>
    <row r="151" spans="1:21" x14ac:dyDescent="0.35">
      <c r="A151" t="s">
        <v>265</v>
      </c>
      <c r="B151" s="1">
        <v>44447</v>
      </c>
      <c r="C151">
        <v>2021</v>
      </c>
      <c r="D151" t="s">
        <v>87</v>
      </c>
      <c r="E151" t="s">
        <v>88</v>
      </c>
      <c r="F151" t="s">
        <v>24</v>
      </c>
      <c r="G151" t="s">
        <v>89</v>
      </c>
      <c r="H151" t="s">
        <v>100</v>
      </c>
      <c r="I151" t="s">
        <v>101</v>
      </c>
      <c r="J151" t="s">
        <v>47</v>
      </c>
      <c r="K151" t="s">
        <v>37</v>
      </c>
      <c r="L151" t="s">
        <v>69</v>
      </c>
      <c r="M151">
        <v>27</v>
      </c>
      <c r="N151">
        <v>29.99</v>
      </c>
      <c r="O151">
        <v>809.73</v>
      </c>
      <c r="P151">
        <v>0.08</v>
      </c>
      <c r="Q151">
        <v>64.78</v>
      </c>
      <c r="R151">
        <v>744.95</v>
      </c>
      <c r="S151">
        <v>59.6</v>
      </c>
      <c r="T151">
        <v>804.55</v>
      </c>
      <c r="U151" t="s">
        <v>39</v>
      </c>
    </row>
    <row r="152" spans="1:21" x14ac:dyDescent="0.35">
      <c r="A152" t="s">
        <v>266</v>
      </c>
      <c r="B152" s="1">
        <v>44448</v>
      </c>
      <c r="C152">
        <v>2021</v>
      </c>
      <c r="D152" t="s">
        <v>51</v>
      </c>
      <c r="E152" t="s">
        <v>52</v>
      </c>
      <c r="F152" t="s">
        <v>24</v>
      </c>
      <c r="G152" t="s">
        <v>53</v>
      </c>
      <c r="H152" t="s">
        <v>71</v>
      </c>
      <c r="I152" t="s">
        <v>72</v>
      </c>
      <c r="J152" t="s">
        <v>47</v>
      </c>
      <c r="K152" t="s">
        <v>60</v>
      </c>
      <c r="L152" t="s">
        <v>69</v>
      </c>
      <c r="M152">
        <v>13</v>
      </c>
      <c r="N152">
        <v>1199.99</v>
      </c>
      <c r="O152">
        <v>15599.87</v>
      </c>
      <c r="P152">
        <v>0.05</v>
      </c>
      <c r="Q152">
        <v>779.99</v>
      </c>
      <c r="R152">
        <v>14819.88</v>
      </c>
      <c r="S152">
        <v>1185.5899999999999</v>
      </c>
      <c r="T152">
        <v>16005.47</v>
      </c>
      <c r="U152" t="s">
        <v>39</v>
      </c>
    </row>
    <row r="153" spans="1:21" x14ac:dyDescent="0.35">
      <c r="A153" t="s">
        <v>267</v>
      </c>
      <c r="B153" s="1">
        <v>44453</v>
      </c>
      <c r="C153">
        <v>2021</v>
      </c>
      <c r="D153" t="s">
        <v>142</v>
      </c>
      <c r="E153" t="s">
        <v>143</v>
      </c>
      <c r="F153" t="s">
        <v>43</v>
      </c>
      <c r="G153" t="s">
        <v>144</v>
      </c>
      <c r="H153" t="s">
        <v>208</v>
      </c>
      <c r="I153" t="s">
        <v>209</v>
      </c>
      <c r="J153" t="s">
        <v>47</v>
      </c>
      <c r="K153" t="s">
        <v>29</v>
      </c>
      <c r="L153" t="s">
        <v>30</v>
      </c>
      <c r="M153">
        <v>17</v>
      </c>
      <c r="N153">
        <v>49.99</v>
      </c>
      <c r="O153">
        <v>849.83</v>
      </c>
      <c r="P153">
        <v>0.05</v>
      </c>
      <c r="Q153">
        <v>42.49</v>
      </c>
      <c r="R153">
        <v>807.34</v>
      </c>
      <c r="S153">
        <v>64.59</v>
      </c>
      <c r="T153">
        <v>871.93</v>
      </c>
      <c r="U153" t="s">
        <v>39</v>
      </c>
    </row>
    <row r="154" spans="1:21" x14ac:dyDescent="0.35">
      <c r="A154" t="s">
        <v>268</v>
      </c>
      <c r="B154" s="1">
        <v>44456</v>
      </c>
      <c r="C154">
        <v>2021</v>
      </c>
      <c r="D154" t="s">
        <v>33</v>
      </c>
      <c r="E154" t="s">
        <v>34</v>
      </c>
      <c r="F154" t="s">
        <v>35</v>
      </c>
      <c r="G154" t="s">
        <v>36</v>
      </c>
      <c r="H154" t="s">
        <v>104</v>
      </c>
      <c r="I154" t="s">
        <v>105</v>
      </c>
      <c r="J154" t="s">
        <v>47</v>
      </c>
      <c r="K154" t="s">
        <v>37</v>
      </c>
      <c r="L154" t="s">
        <v>38</v>
      </c>
      <c r="M154">
        <v>30</v>
      </c>
      <c r="N154">
        <v>479.99</v>
      </c>
      <c r="O154">
        <v>14399.7</v>
      </c>
      <c r="P154">
        <v>0.16</v>
      </c>
      <c r="Q154">
        <v>2303.9499999999998</v>
      </c>
      <c r="R154">
        <v>12095.75</v>
      </c>
      <c r="S154">
        <v>967.66</v>
      </c>
      <c r="T154">
        <v>13063.41</v>
      </c>
      <c r="U154" t="s">
        <v>39</v>
      </c>
    </row>
    <row r="155" spans="1:21" x14ac:dyDescent="0.35">
      <c r="A155" t="s">
        <v>269</v>
      </c>
      <c r="B155" s="1">
        <v>44457</v>
      </c>
      <c r="C155">
        <v>2021</v>
      </c>
      <c r="D155" t="s">
        <v>186</v>
      </c>
      <c r="E155" t="s">
        <v>187</v>
      </c>
      <c r="F155" t="s">
        <v>43</v>
      </c>
      <c r="G155" t="s">
        <v>188</v>
      </c>
      <c r="H155" t="s">
        <v>125</v>
      </c>
      <c r="I155" t="s">
        <v>126</v>
      </c>
      <c r="J155" t="s">
        <v>28</v>
      </c>
      <c r="K155" t="s">
        <v>60</v>
      </c>
      <c r="L155" t="s">
        <v>49</v>
      </c>
      <c r="M155">
        <v>5</v>
      </c>
      <c r="N155">
        <v>79.989999999999995</v>
      </c>
      <c r="O155">
        <v>399.95</v>
      </c>
      <c r="P155">
        <v>0</v>
      </c>
      <c r="Q155">
        <v>0</v>
      </c>
      <c r="R155">
        <v>399.95</v>
      </c>
      <c r="S155">
        <v>32</v>
      </c>
      <c r="T155">
        <v>431.95</v>
      </c>
      <c r="U155" t="s">
        <v>39</v>
      </c>
    </row>
    <row r="156" spans="1:21" x14ac:dyDescent="0.35">
      <c r="A156" t="s">
        <v>270</v>
      </c>
      <c r="B156" s="1">
        <v>44460</v>
      </c>
      <c r="C156">
        <v>2021</v>
      </c>
      <c r="D156" t="s">
        <v>51</v>
      </c>
      <c r="E156" t="s">
        <v>52</v>
      </c>
      <c r="F156" t="s">
        <v>24</v>
      </c>
      <c r="G156" t="s">
        <v>53</v>
      </c>
      <c r="H156" t="s">
        <v>26</v>
      </c>
      <c r="I156" t="s">
        <v>27</v>
      </c>
      <c r="J156" t="s">
        <v>28</v>
      </c>
      <c r="K156" t="s">
        <v>37</v>
      </c>
      <c r="L156" t="s">
        <v>69</v>
      </c>
      <c r="M156">
        <v>28</v>
      </c>
      <c r="N156">
        <v>8.99</v>
      </c>
      <c r="O156">
        <v>251.72</v>
      </c>
      <c r="P156">
        <v>0.08</v>
      </c>
      <c r="Q156">
        <v>20.14</v>
      </c>
      <c r="R156">
        <v>231.58</v>
      </c>
      <c r="S156">
        <v>18.53</v>
      </c>
      <c r="T156">
        <v>250.11</v>
      </c>
      <c r="U156" t="s">
        <v>39</v>
      </c>
    </row>
    <row r="157" spans="1:21" x14ac:dyDescent="0.35">
      <c r="A157" t="s">
        <v>271</v>
      </c>
      <c r="B157" s="1">
        <v>44467</v>
      </c>
      <c r="C157">
        <v>2021</v>
      </c>
      <c r="D157" t="s">
        <v>62</v>
      </c>
      <c r="E157" t="s">
        <v>63</v>
      </c>
      <c r="F157" t="s">
        <v>64</v>
      </c>
      <c r="G157" t="s">
        <v>65</v>
      </c>
      <c r="H157" t="s">
        <v>208</v>
      </c>
      <c r="I157" t="s">
        <v>209</v>
      </c>
      <c r="J157" t="s">
        <v>47</v>
      </c>
      <c r="K157" t="s">
        <v>60</v>
      </c>
      <c r="L157" t="s">
        <v>30</v>
      </c>
      <c r="M157">
        <v>9</v>
      </c>
      <c r="N157">
        <v>49.99</v>
      </c>
      <c r="O157">
        <v>449.91</v>
      </c>
      <c r="P157">
        <v>0</v>
      </c>
      <c r="Q157">
        <v>0</v>
      </c>
      <c r="R157">
        <v>449.91</v>
      </c>
      <c r="S157">
        <v>35.99</v>
      </c>
      <c r="T157">
        <v>485.9</v>
      </c>
      <c r="U157" t="s">
        <v>39</v>
      </c>
    </row>
    <row r="158" spans="1:21" x14ac:dyDescent="0.35">
      <c r="A158" t="s">
        <v>272</v>
      </c>
      <c r="B158" s="1">
        <v>44468</v>
      </c>
      <c r="C158">
        <v>2021</v>
      </c>
      <c r="D158" t="s">
        <v>91</v>
      </c>
      <c r="E158" t="s">
        <v>92</v>
      </c>
      <c r="F158" t="s">
        <v>24</v>
      </c>
      <c r="G158" t="s">
        <v>93</v>
      </c>
      <c r="H158" t="s">
        <v>71</v>
      </c>
      <c r="I158" t="s">
        <v>72</v>
      </c>
      <c r="J158" t="s">
        <v>47</v>
      </c>
      <c r="K158" t="s">
        <v>48</v>
      </c>
      <c r="L158" t="s">
        <v>38</v>
      </c>
      <c r="M158">
        <v>30</v>
      </c>
      <c r="N158">
        <v>1199.99</v>
      </c>
      <c r="O158">
        <v>35999.699999999997</v>
      </c>
      <c r="P158">
        <v>0.16</v>
      </c>
      <c r="Q158">
        <v>5759.95</v>
      </c>
      <c r="R158">
        <v>30239.75</v>
      </c>
      <c r="S158">
        <v>2419.1799999999998</v>
      </c>
      <c r="T158">
        <v>0</v>
      </c>
      <c r="U158" t="s">
        <v>31</v>
      </c>
    </row>
    <row r="159" spans="1:21" x14ac:dyDescent="0.35">
      <c r="A159" t="s">
        <v>273</v>
      </c>
      <c r="B159" s="1">
        <v>44470</v>
      </c>
      <c r="C159">
        <v>2021</v>
      </c>
      <c r="D159" t="s">
        <v>62</v>
      </c>
      <c r="E159" t="s">
        <v>63</v>
      </c>
      <c r="F159" t="s">
        <v>64</v>
      </c>
      <c r="G159" t="s">
        <v>65</v>
      </c>
      <c r="H159" t="s">
        <v>125</v>
      </c>
      <c r="I159" t="s">
        <v>126</v>
      </c>
      <c r="J159" t="s">
        <v>28</v>
      </c>
      <c r="K159" t="s">
        <v>68</v>
      </c>
      <c r="L159" t="s">
        <v>30</v>
      </c>
      <c r="M159">
        <v>6</v>
      </c>
      <c r="N159">
        <v>79.989999999999995</v>
      </c>
      <c r="O159">
        <v>479.94</v>
      </c>
      <c r="P159">
        <v>0</v>
      </c>
      <c r="Q159">
        <v>0</v>
      </c>
      <c r="R159">
        <v>479.94</v>
      </c>
      <c r="S159">
        <v>38.4</v>
      </c>
      <c r="T159">
        <v>518.34</v>
      </c>
      <c r="U159" t="s">
        <v>111</v>
      </c>
    </row>
    <row r="160" spans="1:21" x14ac:dyDescent="0.35">
      <c r="A160" t="s">
        <v>274</v>
      </c>
      <c r="B160" s="1">
        <v>44471</v>
      </c>
      <c r="C160">
        <v>2021</v>
      </c>
      <c r="D160" t="s">
        <v>148</v>
      </c>
      <c r="E160" t="s">
        <v>149</v>
      </c>
      <c r="F160" t="s">
        <v>43</v>
      </c>
      <c r="G160" t="s">
        <v>150</v>
      </c>
      <c r="H160" t="s">
        <v>66</v>
      </c>
      <c r="I160" t="s">
        <v>67</v>
      </c>
      <c r="J160" t="s">
        <v>56</v>
      </c>
      <c r="K160" t="s">
        <v>68</v>
      </c>
      <c r="L160" t="s">
        <v>73</v>
      </c>
      <c r="M160">
        <v>7</v>
      </c>
      <c r="N160">
        <v>229.99</v>
      </c>
      <c r="O160">
        <v>1609.93</v>
      </c>
      <c r="P160">
        <v>0</v>
      </c>
      <c r="Q160">
        <v>0</v>
      </c>
      <c r="R160">
        <v>1609.93</v>
      </c>
      <c r="S160">
        <v>128.79</v>
      </c>
      <c r="T160">
        <v>1738.72</v>
      </c>
      <c r="U160" t="s">
        <v>39</v>
      </c>
    </row>
    <row r="161" spans="1:21" x14ac:dyDescent="0.35">
      <c r="A161" t="s">
        <v>275</v>
      </c>
      <c r="B161" s="1">
        <v>44471</v>
      </c>
      <c r="C161">
        <v>2021</v>
      </c>
      <c r="D161" t="s">
        <v>51</v>
      </c>
      <c r="E161" t="s">
        <v>52</v>
      </c>
      <c r="F161" t="s">
        <v>24</v>
      </c>
      <c r="G161" t="s">
        <v>53</v>
      </c>
      <c r="H161" t="s">
        <v>66</v>
      </c>
      <c r="I161" t="s">
        <v>67</v>
      </c>
      <c r="J161" t="s">
        <v>56</v>
      </c>
      <c r="K161" t="s">
        <v>37</v>
      </c>
      <c r="L161" t="s">
        <v>30</v>
      </c>
      <c r="M161">
        <v>22</v>
      </c>
      <c r="N161">
        <v>229.99</v>
      </c>
      <c r="O161">
        <v>5059.78</v>
      </c>
      <c r="P161">
        <v>0.08</v>
      </c>
      <c r="Q161">
        <v>404.78</v>
      </c>
      <c r="R161">
        <v>4655</v>
      </c>
      <c r="S161">
        <v>372.4</v>
      </c>
      <c r="T161">
        <v>5027.3999999999996</v>
      </c>
      <c r="U161" t="s">
        <v>39</v>
      </c>
    </row>
    <row r="162" spans="1:21" x14ac:dyDescent="0.35">
      <c r="A162" t="s">
        <v>276</v>
      </c>
      <c r="B162" s="1">
        <v>44471</v>
      </c>
      <c r="C162">
        <v>2021</v>
      </c>
      <c r="D162" t="s">
        <v>81</v>
      </c>
      <c r="E162" t="s">
        <v>82</v>
      </c>
      <c r="F162" t="s">
        <v>35</v>
      </c>
      <c r="G162" t="s">
        <v>83</v>
      </c>
      <c r="H162" t="s">
        <v>100</v>
      </c>
      <c r="I162" t="s">
        <v>101</v>
      </c>
      <c r="J162" t="s">
        <v>47</v>
      </c>
      <c r="K162" t="s">
        <v>29</v>
      </c>
      <c r="L162" t="s">
        <v>49</v>
      </c>
      <c r="M162">
        <v>24</v>
      </c>
      <c r="N162">
        <v>29.99</v>
      </c>
      <c r="O162">
        <v>719.76</v>
      </c>
      <c r="P162">
        <v>0.08</v>
      </c>
      <c r="Q162">
        <v>57.58</v>
      </c>
      <c r="R162">
        <v>662.18</v>
      </c>
      <c r="S162">
        <v>52.97</v>
      </c>
      <c r="T162">
        <v>715.15</v>
      </c>
      <c r="U162" t="s">
        <v>39</v>
      </c>
    </row>
    <row r="163" spans="1:21" x14ac:dyDescent="0.35">
      <c r="A163" t="s">
        <v>277</v>
      </c>
      <c r="B163" s="1">
        <v>44472</v>
      </c>
      <c r="C163">
        <v>2021</v>
      </c>
      <c r="D163" t="s">
        <v>41</v>
      </c>
      <c r="E163" t="s">
        <v>42</v>
      </c>
      <c r="F163" t="s">
        <v>43</v>
      </c>
      <c r="G163" t="s">
        <v>44</v>
      </c>
      <c r="H163" t="s">
        <v>71</v>
      </c>
      <c r="I163" t="s">
        <v>72</v>
      </c>
      <c r="J163" t="s">
        <v>47</v>
      </c>
      <c r="K163" t="s">
        <v>48</v>
      </c>
      <c r="L163" t="s">
        <v>30</v>
      </c>
      <c r="M163">
        <v>3</v>
      </c>
      <c r="N163">
        <v>1199.99</v>
      </c>
      <c r="O163">
        <v>3599.97</v>
      </c>
      <c r="P163">
        <v>0</v>
      </c>
      <c r="Q163">
        <v>0</v>
      </c>
      <c r="R163">
        <v>3599.97</v>
      </c>
      <c r="S163">
        <v>288</v>
      </c>
      <c r="T163">
        <v>3887.97</v>
      </c>
      <c r="U163" t="s">
        <v>39</v>
      </c>
    </row>
    <row r="164" spans="1:21" x14ac:dyDescent="0.35">
      <c r="A164" t="s">
        <v>278</v>
      </c>
      <c r="B164" s="1">
        <v>44472</v>
      </c>
      <c r="C164">
        <v>2021</v>
      </c>
      <c r="D164" t="s">
        <v>51</v>
      </c>
      <c r="E164" t="s">
        <v>52</v>
      </c>
      <c r="F164" t="s">
        <v>24</v>
      </c>
      <c r="G164" t="s">
        <v>53</v>
      </c>
      <c r="H164" t="s">
        <v>94</v>
      </c>
      <c r="I164" t="s">
        <v>95</v>
      </c>
      <c r="J164" t="s">
        <v>56</v>
      </c>
      <c r="K164" t="s">
        <v>68</v>
      </c>
      <c r="L164" t="s">
        <v>38</v>
      </c>
      <c r="M164">
        <v>17</v>
      </c>
      <c r="N164">
        <v>349.99</v>
      </c>
      <c r="O164">
        <v>5949.83</v>
      </c>
      <c r="P164">
        <v>0.13</v>
      </c>
      <c r="Q164">
        <v>773.48</v>
      </c>
      <c r="R164">
        <v>5176.3500000000004</v>
      </c>
      <c r="S164">
        <v>414.11</v>
      </c>
      <c r="T164">
        <v>5590.46</v>
      </c>
      <c r="U164" t="s">
        <v>39</v>
      </c>
    </row>
    <row r="165" spans="1:21" x14ac:dyDescent="0.35">
      <c r="A165" t="s">
        <v>279</v>
      </c>
      <c r="B165" s="1">
        <v>44472</v>
      </c>
      <c r="C165">
        <v>2021</v>
      </c>
      <c r="D165" t="s">
        <v>81</v>
      </c>
      <c r="E165" t="s">
        <v>82</v>
      </c>
      <c r="F165" t="s">
        <v>35</v>
      </c>
      <c r="G165" t="s">
        <v>83</v>
      </c>
      <c r="H165" t="s">
        <v>208</v>
      </c>
      <c r="I165" t="s">
        <v>209</v>
      </c>
      <c r="J165" t="s">
        <v>47</v>
      </c>
      <c r="K165" t="s">
        <v>48</v>
      </c>
      <c r="L165" t="s">
        <v>49</v>
      </c>
      <c r="M165">
        <v>26</v>
      </c>
      <c r="N165">
        <v>49.99</v>
      </c>
      <c r="O165">
        <v>1299.74</v>
      </c>
      <c r="P165">
        <v>0.08</v>
      </c>
      <c r="Q165">
        <v>103.98</v>
      </c>
      <c r="R165">
        <v>1195.76</v>
      </c>
      <c r="S165">
        <v>95.66</v>
      </c>
      <c r="T165">
        <v>0</v>
      </c>
      <c r="U165" t="s">
        <v>31</v>
      </c>
    </row>
    <row r="166" spans="1:21" x14ac:dyDescent="0.35">
      <c r="A166" t="s">
        <v>280</v>
      </c>
      <c r="B166" s="1">
        <v>44472</v>
      </c>
      <c r="C166">
        <v>2021</v>
      </c>
      <c r="D166" t="s">
        <v>51</v>
      </c>
      <c r="E166" t="s">
        <v>52</v>
      </c>
      <c r="F166" t="s">
        <v>24</v>
      </c>
      <c r="G166" t="s">
        <v>53</v>
      </c>
      <c r="H166" t="s">
        <v>71</v>
      </c>
      <c r="I166" t="s">
        <v>72</v>
      </c>
      <c r="J166" t="s">
        <v>47</v>
      </c>
      <c r="K166" t="s">
        <v>60</v>
      </c>
      <c r="L166" t="s">
        <v>69</v>
      </c>
      <c r="M166">
        <v>8</v>
      </c>
      <c r="N166">
        <v>1199.99</v>
      </c>
      <c r="O166">
        <v>9599.92</v>
      </c>
      <c r="P166">
        <v>0</v>
      </c>
      <c r="Q166">
        <v>0</v>
      </c>
      <c r="R166">
        <v>9599.92</v>
      </c>
      <c r="S166">
        <v>767.99</v>
      </c>
      <c r="T166">
        <v>10367.91</v>
      </c>
      <c r="U166" t="s">
        <v>39</v>
      </c>
    </row>
    <row r="167" spans="1:21" x14ac:dyDescent="0.35">
      <c r="A167" t="s">
        <v>281</v>
      </c>
      <c r="B167" s="1">
        <v>44475</v>
      </c>
      <c r="C167">
        <v>2021</v>
      </c>
      <c r="D167" t="s">
        <v>142</v>
      </c>
      <c r="E167" t="s">
        <v>143</v>
      </c>
      <c r="F167" t="s">
        <v>43</v>
      </c>
      <c r="G167" t="s">
        <v>144</v>
      </c>
      <c r="H167" t="s">
        <v>125</v>
      </c>
      <c r="I167" t="s">
        <v>126</v>
      </c>
      <c r="J167" t="s">
        <v>28</v>
      </c>
      <c r="K167" t="s">
        <v>37</v>
      </c>
      <c r="L167" t="s">
        <v>49</v>
      </c>
      <c r="M167">
        <v>15</v>
      </c>
      <c r="N167">
        <v>79.989999999999995</v>
      </c>
      <c r="O167">
        <v>1199.8499999999999</v>
      </c>
      <c r="P167">
        <v>0.05</v>
      </c>
      <c r="Q167">
        <v>59.99</v>
      </c>
      <c r="R167">
        <v>1139.8599999999999</v>
      </c>
      <c r="S167">
        <v>91.19</v>
      </c>
      <c r="T167">
        <v>1231.05</v>
      </c>
      <c r="U167" t="s">
        <v>39</v>
      </c>
    </row>
    <row r="168" spans="1:21" x14ac:dyDescent="0.35">
      <c r="A168" t="s">
        <v>282</v>
      </c>
      <c r="B168" s="1">
        <v>44475</v>
      </c>
      <c r="C168">
        <v>2021</v>
      </c>
      <c r="D168" t="s">
        <v>22</v>
      </c>
      <c r="E168" t="s">
        <v>23</v>
      </c>
      <c r="F168" t="s">
        <v>24</v>
      </c>
      <c r="G168" t="s">
        <v>25</v>
      </c>
      <c r="H168" t="s">
        <v>66</v>
      </c>
      <c r="I168" t="s">
        <v>67</v>
      </c>
      <c r="J168" t="s">
        <v>56</v>
      </c>
      <c r="K168" t="s">
        <v>48</v>
      </c>
      <c r="L168" t="s">
        <v>73</v>
      </c>
      <c r="M168">
        <v>4</v>
      </c>
      <c r="N168">
        <v>229.99</v>
      </c>
      <c r="O168">
        <v>919.96</v>
      </c>
      <c r="P168">
        <v>0</v>
      </c>
      <c r="Q168">
        <v>0</v>
      </c>
      <c r="R168">
        <v>919.96</v>
      </c>
      <c r="S168">
        <v>73.599999999999994</v>
      </c>
      <c r="T168">
        <v>993.56</v>
      </c>
      <c r="U168" t="s">
        <v>39</v>
      </c>
    </row>
    <row r="169" spans="1:21" x14ac:dyDescent="0.35">
      <c r="A169" t="s">
        <v>283</v>
      </c>
      <c r="B169" s="1">
        <v>44476</v>
      </c>
      <c r="C169">
        <v>2021</v>
      </c>
      <c r="D169" t="s">
        <v>97</v>
      </c>
      <c r="E169" t="s">
        <v>98</v>
      </c>
      <c r="F169" t="s">
        <v>35</v>
      </c>
      <c r="G169" t="s">
        <v>99</v>
      </c>
      <c r="H169" t="s">
        <v>71</v>
      </c>
      <c r="I169" t="s">
        <v>72</v>
      </c>
      <c r="J169" t="s">
        <v>47</v>
      </c>
      <c r="K169" t="s">
        <v>37</v>
      </c>
      <c r="L169" t="s">
        <v>38</v>
      </c>
      <c r="M169">
        <v>18</v>
      </c>
      <c r="N169">
        <v>1199.99</v>
      </c>
      <c r="O169">
        <v>21599.82</v>
      </c>
      <c r="P169">
        <v>0.13</v>
      </c>
      <c r="Q169">
        <v>2807.98</v>
      </c>
      <c r="R169">
        <v>18791.84</v>
      </c>
      <c r="S169">
        <v>1503.35</v>
      </c>
      <c r="T169">
        <v>20295.189999999999</v>
      </c>
      <c r="U169" t="s">
        <v>39</v>
      </c>
    </row>
    <row r="170" spans="1:21" x14ac:dyDescent="0.35">
      <c r="A170" t="s">
        <v>284</v>
      </c>
      <c r="B170" s="1">
        <v>44478</v>
      </c>
      <c r="C170">
        <v>2021</v>
      </c>
      <c r="D170" t="s">
        <v>87</v>
      </c>
      <c r="E170" t="s">
        <v>88</v>
      </c>
      <c r="F170" t="s">
        <v>24</v>
      </c>
      <c r="G170" t="s">
        <v>89</v>
      </c>
      <c r="H170" t="s">
        <v>128</v>
      </c>
      <c r="I170" t="s">
        <v>129</v>
      </c>
      <c r="J170" t="s">
        <v>47</v>
      </c>
      <c r="K170" t="s">
        <v>48</v>
      </c>
      <c r="L170" t="s">
        <v>49</v>
      </c>
      <c r="M170">
        <v>24</v>
      </c>
      <c r="N170">
        <v>399.99</v>
      </c>
      <c r="O170">
        <v>9599.76</v>
      </c>
      <c r="P170">
        <v>0.08</v>
      </c>
      <c r="Q170">
        <v>767.98</v>
      </c>
      <c r="R170">
        <v>8831.7800000000007</v>
      </c>
      <c r="S170">
        <v>706.54</v>
      </c>
      <c r="T170">
        <v>9538.32</v>
      </c>
      <c r="U170" t="s">
        <v>39</v>
      </c>
    </row>
    <row r="171" spans="1:21" x14ac:dyDescent="0.35">
      <c r="A171" t="s">
        <v>285</v>
      </c>
      <c r="B171" s="1">
        <v>44479</v>
      </c>
      <c r="C171">
        <v>2021</v>
      </c>
      <c r="D171" t="s">
        <v>41</v>
      </c>
      <c r="E171" t="s">
        <v>42</v>
      </c>
      <c r="F171" t="s">
        <v>43</v>
      </c>
      <c r="G171" t="s">
        <v>44</v>
      </c>
      <c r="H171" t="s">
        <v>78</v>
      </c>
      <c r="I171" t="s">
        <v>79</v>
      </c>
      <c r="J171" t="s">
        <v>28</v>
      </c>
      <c r="K171" t="s">
        <v>48</v>
      </c>
      <c r="L171" t="s">
        <v>69</v>
      </c>
      <c r="M171">
        <v>3</v>
      </c>
      <c r="N171">
        <v>5.99</v>
      </c>
      <c r="O171">
        <v>17.97</v>
      </c>
      <c r="P171">
        <v>0</v>
      </c>
      <c r="Q171">
        <v>0</v>
      </c>
      <c r="R171">
        <v>17.97</v>
      </c>
      <c r="S171">
        <v>1.44</v>
      </c>
      <c r="T171">
        <v>19.41</v>
      </c>
      <c r="U171" t="s">
        <v>39</v>
      </c>
    </row>
    <row r="172" spans="1:21" x14ac:dyDescent="0.35">
      <c r="A172" t="s">
        <v>286</v>
      </c>
      <c r="B172" s="1">
        <v>44479</v>
      </c>
      <c r="C172">
        <v>2021</v>
      </c>
      <c r="D172" t="s">
        <v>62</v>
      </c>
      <c r="E172" t="s">
        <v>63</v>
      </c>
      <c r="F172" t="s">
        <v>64</v>
      </c>
      <c r="G172" t="s">
        <v>65</v>
      </c>
      <c r="H172" t="s">
        <v>58</v>
      </c>
      <c r="I172" t="s">
        <v>59</v>
      </c>
      <c r="J172" t="s">
        <v>56</v>
      </c>
      <c r="K172" t="s">
        <v>68</v>
      </c>
      <c r="L172" t="s">
        <v>73</v>
      </c>
      <c r="M172">
        <v>6</v>
      </c>
      <c r="N172">
        <v>599.99</v>
      </c>
      <c r="O172">
        <v>3599.94</v>
      </c>
      <c r="P172">
        <v>0</v>
      </c>
      <c r="Q172">
        <v>0</v>
      </c>
      <c r="R172">
        <v>3599.94</v>
      </c>
      <c r="S172">
        <v>288</v>
      </c>
      <c r="T172">
        <v>3887.94</v>
      </c>
      <c r="U172" t="s">
        <v>39</v>
      </c>
    </row>
    <row r="173" spans="1:21" x14ac:dyDescent="0.35">
      <c r="A173" t="s">
        <v>287</v>
      </c>
      <c r="B173" s="1">
        <v>44480</v>
      </c>
      <c r="C173">
        <v>2021</v>
      </c>
      <c r="D173" t="s">
        <v>51</v>
      </c>
      <c r="E173" t="s">
        <v>52</v>
      </c>
      <c r="F173" t="s">
        <v>24</v>
      </c>
      <c r="G173" t="s">
        <v>53</v>
      </c>
      <c r="H173" t="s">
        <v>78</v>
      </c>
      <c r="I173" t="s">
        <v>79</v>
      </c>
      <c r="J173" t="s">
        <v>28</v>
      </c>
      <c r="K173" t="s">
        <v>48</v>
      </c>
      <c r="L173" t="s">
        <v>30</v>
      </c>
      <c r="M173">
        <v>22</v>
      </c>
      <c r="N173">
        <v>5.99</v>
      </c>
      <c r="O173">
        <v>131.78</v>
      </c>
      <c r="P173">
        <v>0.08</v>
      </c>
      <c r="Q173">
        <v>10.54</v>
      </c>
      <c r="R173">
        <v>121.24</v>
      </c>
      <c r="S173">
        <v>9.6999999999999993</v>
      </c>
      <c r="T173">
        <v>130.94</v>
      </c>
      <c r="U173" t="s">
        <v>39</v>
      </c>
    </row>
    <row r="174" spans="1:21" x14ac:dyDescent="0.35">
      <c r="A174" t="s">
        <v>288</v>
      </c>
      <c r="B174" s="1">
        <v>44484</v>
      </c>
      <c r="C174">
        <v>2021</v>
      </c>
      <c r="D174" t="s">
        <v>33</v>
      </c>
      <c r="E174" t="s">
        <v>34</v>
      </c>
      <c r="F174" t="s">
        <v>35</v>
      </c>
      <c r="G174" t="s">
        <v>36</v>
      </c>
      <c r="H174" t="s">
        <v>26</v>
      </c>
      <c r="I174" t="s">
        <v>27</v>
      </c>
      <c r="J174" t="s">
        <v>28</v>
      </c>
      <c r="K174" t="s">
        <v>29</v>
      </c>
      <c r="L174" t="s">
        <v>38</v>
      </c>
      <c r="M174">
        <v>20</v>
      </c>
      <c r="N174">
        <v>8.99</v>
      </c>
      <c r="O174">
        <v>179.8</v>
      </c>
      <c r="P174">
        <v>0.16</v>
      </c>
      <c r="Q174">
        <v>28.77</v>
      </c>
      <c r="R174">
        <v>151.03</v>
      </c>
      <c r="S174">
        <v>12.08</v>
      </c>
      <c r="T174">
        <v>163.11000000000001</v>
      </c>
      <c r="U174" t="s">
        <v>39</v>
      </c>
    </row>
    <row r="175" spans="1:21" x14ac:dyDescent="0.35">
      <c r="A175" t="s">
        <v>289</v>
      </c>
      <c r="B175" s="1">
        <v>44485</v>
      </c>
      <c r="C175">
        <v>2021</v>
      </c>
      <c r="D175" t="s">
        <v>186</v>
      </c>
      <c r="E175" t="s">
        <v>187</v>
      </c>
      <c r="F175" t="s">
        <v>43</v>
      </c>
      <c r="G175" t="s">
        <v>188</v>
      </c>
      <c r="H175" t="s">
        <v>100</v>
      </c>
      <c r="I175" t="s">
        <v>101</v>
      </c>
      <c r="J175" t="s">
        <v>47</v>
      </c>
      <c r="K175" t="s">
        <v>68</v>
      </c>
      <c r="L175" t="s">
        <v>73</v>
      </c>
      <c r="M175">
        <v>26</v>
      </c>
      <c r="N175">
        <v>29.99</v>
      </c>
      <c r="O175">
        <v>779.74</v>
      </c>
      <c r="P175">
        <v>0.08</v>
      </c>
      <c r="Q175">
        <v>62.38</v>
      </c>
      <c r="R175">
        <v>717.36</v>
      </c>
      <c r="S175">
        <v>57.39</v>
      </c>
      <c r="T175">
        <v>774.75</v>
      </c>
      <c r="U175" t="s">
        <v>39</v>
      </c>
    </row>
    <row r="176" spans="1:21" x14ac:dyDescent="0.35">
      <c r="A176" t="s">
        <v>290</v>
      </c>
      <c r="B176" s="1">
        <v>44486</v>
      </c>
      <c r="C176">
        <v>2021</v>
      </c>
      <c r="D176" t="s">
        <v>33</v>
      </c>
      <c r="E176" t="s">
        <v>34</v>
      </c>
      <c r="F176" t="s">
        <v>35</v>
      </c>
      <c r="G176" t="s">
        <v>36</v>
      </c>
      <c r="H176" t="s">
        <v>94</v>
      </c>
      <c r="I176" t="s">
        <v>95</v>
      </c>
      <c r="J176" t="s">
        <v>56</v>
      </c>
      <c r="K176" t="s">
        <v>37</v>
      </c>
      <c r="L176" t="s">
        <v>30</v>
      </c>
      <c r="M176">
        <v>26</v>
      </c>
      <c r="N176">
        <v>349.99</v>
      </c>
      <c r="O176">
        <v>9099.74</v>
      </c>
      <c r="P176">
        <v>0.08</v>
      </c>
      <c r="Q176">
        <v>727.98</v>
      </c>
      <c r="R176">
        <v>8371.76</v>
      </c>
      <c r="S176">
        <v>669.74</v>
      </c>
      <c r="T176">
        <v>9041.5</v>
      </c>
      <c r="U176" t="s">
        <v>39</v>
      </c>
    </row>
    <row r="177" spans="1:21" x14ac:dyDescent="0.35">
      <c r="A177" t="s">
        <v>291</v>
      </c>
      <c r="B177" s="1">
        <v>44486</v>
      </c>
      <c r="C177">
        <v>2021</v>
      </c>
      <c r="D177" t="s">
        <v>122</v>
      </c>
      <c r="E177" t="s">
        <v>123</v>
      </c>
      <c r="F177" t="s">
        <v>64</v>
      </c>
      <c r="G177" t="s">
        <v>124</v>
      </c>
      <c r="H177" t="s">
        <v>26</v>
      </c>
      <c r="I177" t="s">
        <v>27</v>
      </c>
      <c r="J177" t="s">
        <v>28</v>
      </c>
      <c r="K177" t="s">
        <v>29</v>
      </c>
      <c r="L177" t="s">
        <v>73</v>
      </c>
      <c r="M177">
        <v>14</v>
      </c>
      <c r="N177">
        <v>8.99</v>
      </c>
      <c r="O177">
        <v>125.86</v>
      </c>
      <c r="P177">
        <v>0.05</v>
      </c>
      <c r="Q177">
        <v>6.29</v>
      </c>
      <c r="R177">
        <v>119.57</v>
      </c>
      <c r="S177">
        <v>9.57</v>
      </c>
      <c r="T177">
        <v>0</v>
      </c>
      <c r="U177" t="s">
        <v>31</v>
      </c>
    </row>
    <row r="178" spans="1:21" x14ac:dyDescent="0.35">
      <c r="A178" t="s">
        <v>292</v>
      </c>
      <c r="B178" s="1">
        <v>44486</v>
      </c>
      <c r="C178">
        <v>2021</v>
      </c>
      <c r="D178" t="s">
        <v>51</v>
      </c>
      <c r="E178" t="s">
        <v>52</v>
      </c>
      <c r="F178" t="s">
        <v>24</v>
      </c>
      <c r="G178" t="s">
        <v>53</v>
      </c>
      <c r="H178" t="s">
        <v>78</v>
      </c>
      <c r="I178" t="s">
        <v>79</v>
      </c>
      <c r="J178" t="s">
        <v>28</v>
      </c>
      <c r="K178" t="s">
        <v>68</v>
      </c>
      <c r="L178" t="s">
        <v>38</v>
      </c>
      <c r="M178">
        <v>1</v>
      </c>
      <c r="N178">
        <v>5.99</v>
      </c>
      <c r="O178">
        <v>5.99</v>
      </c>
      <c r="P178">
        <v>0.08</v>
      </c>
      <c r="Q178">
        <v>0.48</v>
      </c>
      <c r="R178">
        <v>5.51</v>
      </c>
      <c r="S178">
        <v>0.44</v>
      </c>
      <c r="T178">
        <v>5.95</v>
      </c>
      <c r="U178" t="s">
        <v>39</v>
      </c>
    </row>
    <row r="179" spans="1:21" x14ac:dyDescent="0.35">
      <c r="A179" t="s">
        <v>293</v>
      </c>
      <c r="B179" s="1">
        <v>44487</v>
      </c>
      <c r="C179">
        <v>2021</v>
      </c>
      <c r="D179" t="s">
        <v>97</v>
      </c>
      <c r="E179" t="s">
        <v>98</v>
      </c>
      <c r="F179" t="s">
        <v>35</v>
      </c>
      <c r="G179" t="s">
        <v>99</v>
      </c>
      <c r="H179" t="s">
        <v>66</v>
      </c>
      <c r="I179" t="s">
        <v>67</v>
      </c>
      <c r="J179" t="s">
        <v>56</v>
      </c>
      <c r="K179" t="s">
        <v>60</v>
      </c>
      <c r="L179" t="s">
        <v>49</v>
      </c>
      <c r="M179">
        <v>7</v>
      </c>
      <c r="N179">
        <v>229.99</v>
      </c>
      <c r="O179">
        <v>1609.93</v>
      </c>
      <c r="P179">
        <v>0</v>
      </c>
      <c r="Q179">
        <v>0</v>
      </c>
      <c r="R179">
        <v>1609.93</v>
      </c>
      <c r="S179">
        <v>128.79</v>
      </c>
      <c r="T179">
        <v>1738.72</v>
      </c>
      <c r="U179" t="s">
        <v>39</v>
      </c>
    </row>
    <row r="180" spans="1:21" x14ac:dyDescent="0.35">
      <c r="A180" t="s">
        <v>294</v>
      </c>
      <c r="B180" s="1">
        <v>44487</v>
      </c>
      <c r="C180">
        <v>2021</v>
      </c>
      <c r="D180" t="s">
        <v>148</v>
      </c>
      <c r="E180" t="s">
        <v>149</v>
      </c>
      <c r="F180" t="s">
        <v>43</v>
      </c>
      <c r="G180" t="s">
        <v>150</v>
      </c>
      <c r="H180" t="s">
        <v>125</v>
      </c>
      <c r="I180" t="s">
        <v>126</v>
      </c>
      <c r="J180" t="s">
        <v>28</v>
      </c>
      <c r="K180" t="s">
        <v>37</v>
      </c>
      <c r="L180" t="s">
        <v>73</v>
      </c>
      <c r="M180">
        <v>8</v>
      </c>
      <c r="N180">
        <v>79.989999999999995</v>
      </c>
      <c r="O180">
        <v>639.91999999999996</v>
      </c>
      <c r="P180">
        <v>0</v>
      </c>
      <c r="Q180">
        <v>0</v>
      </c>
      <c r="R180">
        <v>639.91999999999996</v>
      </c>
      <c r="S180">
        <v>51.19</v>
      </c>
      <c r="T180">
        <v>691.11</v>
      </c>
      <c r="U180" t="s">
        <v>39</v>
      </c>
    </row>
    <row r="181" spans="1:21" x14ac:dyDescent="0.35">
      <c r="A181" t="s">
        <v>295</v>
      </c>
      <c r="B181" s="1">
        <v>44488</v>
      </c>
      <c r="C181">
        <v>2021</v>
      </c>
      <c r="D181" t="s">
        <v>62</v>
      </c>
      <c r="E181" t="s">
        <v>63</v>
      </c>
      <c r="F181" t="s">
        <v>64</v>
      </c>
      <c r="G181" t="s">
        <v>65</v>
      </c>
      <c r="H181" t="s">
        <v>100</v>
      </c>
      <c r="I181" t="s">
        <v>101</v>
      </c>
      <c r="J181" t="s">
        <v>47</v>
      </c>
      <c r="K181" t="s">
        <v>29</v>
      </c>
      <c r="L181" t="s">
        <v>38</v>
      </c>
      <c r="M181">
        <v>29</v>
      </c>
      <c r="N181">
        <v>29.99</v>
      </c>
      <c r="O181">
        <v>869.71</v>
      </c>
      <c r="P181">
        <v>0.16</v>
      </c>
      <c r="Q181">
        <v>139.15</v>
      </c>
      <c r="R181">
        <v>730.56</v>
      </c>
      <c r="S181">
        <v>58.44</v>
      </c>
      <c r="T181">
        <v>789</v>
      </c>
      <c r="U181" t="s">
        <v>39</v>
      </c>
    </row>
    <row r="182" spans="1:21" x14ac:dyDescent="0.35">
      <c r="A182" t="s">
        <v>296</v>
      </c>
      <c r="B182" s="1">
        <v>44488</v>
      </c>
      <c r="C182">
        <v>2021</v>
      </c>
      <c r="D182" t="s">
        <v>41</v>
      </c>
      <c r="E182" t="s">
        <v>42</v>
      </c>
      <c r="F182" t="s">
        <v>43</v>
      </c>
      <c r="G182" t="s">
        <v>44</v>
      </c>
      <c r="H182" t="s">
        <v>125</v>
      </c>
      <c r="I182" t="s">
        <v>126</v>
      </c>
      <c r="J182" t="s">
        <v>28</v>
      </c>
      <c r="K182" t="s">
        <v>37</v>
      </c>
      <c r="L182" t="s">
        <v>30</v>
      </c>
      <c r="M182">
        <v>10</v>
      </c>
      <c r="N182">
        <v>79.989999999999995</v>
      </c>
      <c r="O182">
        <v>799.9</v>
      </c>
      <c r="P182">
        <v>0.05</v>
      </c>
      <c r="Q182">
        <v>40</v>
      </c>
      <c r="R182">
        <v>759.9</v>
      </c>
      <c r="S182">
        <v>60.79</v>
      </c>
      <c r="T182">
        <v>820.69</v>
      </c>
      <c r="U182" t="s">
        <v>39</v>
      </c>
    </row>
    <row r="183" spans="1:21" x14ac:dyDescent="0.35">
      <c r="A183" t="s">
        <v>297</v>
      </c>
      <c r="B183" s="1">
        <v>44488</v>
      </c>
      <c r="C183">
        <v>2021</v>
      </c>
      <c r="D183" t="s">
        <v>22</v>
      </c>
      <c r="E183" t="s">
        <v>23</v>
      </c>
      <c r="F183" t="s">
        <v>24</v>
      </c>
      <c r="G183" t="s">
        <v>25</v>
      </c>
      <c r="H183" t="s">
        <v>208</v>
      </c>
      <c r="I183" t="s">
        <v>209</v>
      </c>
      <c r="J183" t="s">
        <v>47</v>
      </c>
      <c r="K183" t="s">
        <v>37</v>
      </c>
      <c r="L183" t="s">
        <v>30</v>
      </c>
      <c r="M183">
        <v>27</v>
      </c>
      <c r="N183">
        <v>49.99</v>
      </c>
      <c r="O183">
        <v>1349.73</v>
      </c>
      <c r="P183">
        <v>0.08</v>
      </c>
      <c r="Q183">
        <v>107.98</v>
      </c>
      <c r="R183">
        <v>1241.75</v>
      </c>
      <c r="S183">
        <v>99.34</v>
      </c>
      <c r="T183">
        <v>1341.09</v>
      </c>
      <c r="U183" t="s">
        <v>111</v>
      </c>
    </row>
    <row r="184" spans="1:21" x14ac:dyDescent="0.35">
      <c r="A184" t="s">
        <v>298</v>
      </c>
      <c r="B184" s="1">
        <v>44489</v>
      </c>
      <c r="C184">
        <v>2021</v>
      </c>
      <c r="D184" t="s">
        <v>142</v>
      </c>
      <c r="E184" t="s">
        <v>143</v>
      </c>
      <c r="F184" t="s">
        <v>43</v>
      </c>
      <c r="G184" t="s">
        <v>144</v>
      </c>
      <c r="H184" t="s">
        <v>128</v>
      </c>
      <c r="I184" t="s">
        <v>129</v>
      </c>
      <c r="J184" t="s">
        <v>47</v>
      </c>
      <c r="K184" t="s">
        <v>48</v>
      </c>
      <c r="L184" t="s">
        <v>73</v>
      </c>
      <c r="M184">
        <v>30</v>
      </c>
      <c r="N184">
        <v>399.99</v>
      </c>
      <c r="O184">
        <v>11999.7</v>
      </c>
      <c r="P184">
        <v>0.08</v>
      </c>
      <c r="Q184">
        <v>959.98</v>
      </c>
      <c r="R184">
        <v>11039.72</v>
      </c>
      <c r="S184">
        <v>883.18</v>
      </c>
      <c r="T184">
        <v>11922.9</v>
      </c>
      <c r="U184" t="s">
        <v>111</v>
      </c>
    </row>
    <row r="185" spans="1:21" x14ac:dyDescent="0.35">
      <c r="A185" t="s">
        <v>299</v>
      </c>
      <c r="B185" s="1">
        <v>44491</v>
      </c>
      <c r="C185">
        <v>2021</v>
      </c>
      <c r="D185" t="s">
        <v>91</v>
      </c>
      <c r="E185" t="s">
        <v>92</v>
      </c>
      <c r="F185" t="s">
        <v>24</v>
      </c>
      <c r="G185" t="s">
        <v>93</v>
      </c>
      <c r="H185" t="s">
        <v>58</v>
      </c>
      <c r="I185" t="s">
        <v>59</v>
      </c>
      <c r="J185" t="s">
        <v>56</v>
      </c>
      <c r="K185" t="s">
        <v>68</v>
      </c>
      <c r="L185" t="s">
        <v>73</v>
      </c>
      <c r="M185">
        <v>27</v>
      </c>
      <c r="N185">
        <v>599.99</v>
      </c>
      <c r="O185">
        <v>16199.73</v>
      </c>
      <c r="P185">
        <v>0.08</v>
      </c>
      <c r="Q185">
        <v>1295.98</v>
      </c>
      <c r="R185">
        <v>14903.75</v>
      </c>
      <c r="S185">
        <v>1192.3</v>
      </c>
      <c r="T185">
        <v>16096.05</v>
      </c>
      <c r="U185" t="s">
        <v>111</v>
      </c>
    </row>
    <row r="186" spans="1:21" x14ac:dyDescent="0.35">
      <c r="A186" t="s">
        <v>300</v>
      </c>
      <c r="B186" s="1">
        <v>44492</v>
      </c>
      <c r="C186">
        <v>2021</v>
      </c>
      <c r="D186" t="s">
        <v>186</v>
      </c>
      <c r="E186" t="s">
        <v>187</v>
      </c>
      <c r="F186" t="s">
        <v>43</v>
      </c>
      <c r="G186" t="s">
        <v>188</v>
      </c>
      <c r="H186" t="s">
        <v>145</v>
      </c>
      <c r="I186" t="s">
        <v>146</v>
      </c>
      <c r="J186" t="s">
        <v>47</v>
      </c>
      <c r="K186" t="s">
        <v>48</v>
      </c>
      <c r="L186" t="s">
        <v>69</v>
      </c>
      <c r="M186">
        <v>29</v>
      </c>
      <c r="N186">
        <v>129.99</v>
      </c>
      <c r="O186">
        <v>3769.71</v>
      </c>
      <c r="P186">
        <v>0.08</v>
      </c>
      <c r="Q186">
        <v>301.58</v>
      </c>
      <c r="R186">
        <v>3468.13</v>
      </c>
      <c r="S186">
        <v>277.45</v>
      </c>
      <c r="T186">
        <v>3745.58</v>
      </c>
      <c r="U186" t="s">
        <v>39</v>
      </c>
    </row>
    <row r="187" spans="1:21" x14ac:dyDescent="0.35">
      <c r="A187" t="s">
        <v>301</v>
      </c>
      <c r="B187" s="1">
        <v>44493</v>
      </c>
      <c r="C187">
        <v>2021</v>
      </c>
      <c r="D187" t="s">
        <v>81</v>
      </c>
      <c r="E187" t="s">
        <v>82</v>
      </c>
      <c r="F187" t="s">
        <v>35</v>
      </c>
      <c r="G187" t="s">
        <v>83</v>
      </c>
      <c r="H187" t="s">
        <v>45</v>
      </c>
      <c r="I187" t="s">
        <v>46</v>
      </c>
      <c r="J187" t="s">
        <v>47</v>
      </c>
      <c r="K187" t="s">
        <v>68</v>
      </c>
      <c r="L187" t="s">
        <v>73</v>
      </c>
      <c r="M187">
        <v>4</v>
      </c>
      <c r="N187">
        <v>89.99</v>
      </c>
      <c r="O187">
        <v>359.96</v>
      </c>
      <c r="P187">
        <v>0</v>
      </c>
      <c r="Q187">
        <v>0</v>
      </c>
      <c r="R187">
        <v>359.96</v>
      </c>
      <c r="S187">
        <v>28.8</v>
      </c>
      <c r="T187">
        <v>388.76</v>
      </c>
      <c r="U187" t="s">
        <v>39</v>
      </c>
    </row>
    <row r="188" spans="1:21" x14ac:dyDescent="0.35">
      <c r="A188" t="s">
        <v>302</v>
      </c>
      <c r="B188" s="1">
        <v>44495</v>
      </c>
      <c r="C188">
        <v>2021</v>
      </c>
      <c r="D188" t="s">
        <v>122</v>
      </c>
      <c r="E188" t="s">
        <v>123</v>
      </c>
      <c r="F188" t="s">
        <v>64</v>
      </c>
      <c r="G188" t="s">
        <v>124</v>
      </c>
      <c r="H188" t="s">
        <v>104</v>
      </c>
      <c r="I188" t="s">
        <v>105</v>
      </c>
      <c r="J188" t="s">
        <v>47</v>
      </c>
      <c r="K188" t="s">
        <v>48</v>
      </c>
      <c r="L188" t="s">
        <v>73</v>
      </c>
      <c r="M188">
        <v>30</v>
      </c>
      <c r="N188">
        <v>479.99</v>
      </c>
      <c r="O188">
        <v>14399.7</v>
      </c>
      <c r="P188">
        <v>0.08</v>
      </c>
      <c r="Q188">
        <v>1151.98</v>
      </c>
      <c r="R188">
        <v>13247.72</v>
      </c>
      <c r="S188">
        <v>1059.82</v>
      </c>
      <c r="T188">
        <v>14307.54</v>
      </c>
      <c r="U188" t="s">
        <v>39</v>
      </c>
    </row>
    <row r="189" spans="1:21" x14ac:dyDescent="0.35">
      <c r="A189" t="s">
        <v>303</v>
      </c>
      <c r="B189" s="1">
        <v>44497</v>
      </c>
      <c r="C189">
        <v>2021</v>
      </c>
      <c r="D189" t="s">
        <v>148</v>
      </c>
      <c r="E189" t="s">
        <v>149</v>
      </c>
      <c r="F189" t="s">
        <v>43</v>
      </c>
      <c r="G189" t="s">
        <v>150</v>
      </c>
      <c r="H189" t="s">
        <v>58</v>
      </c>
      <c r="I189" t="s">
        <v>59</v>
      </c>
      <c r="J189" t="s">
        <v>56</v>
      </c>
      <c r="K189" t="s">
        <v>68</v>
      </c>
      <c r="L189" t="s">
        <v>49</v>
      </c>
      <c r="M189">
        <v>10</v>
      </c>
      <c r="N189">
        <v>599.99</v>
      </c>
      <c r="O189">
        <v>5999.9</v>
      </c>
      <c r="P189">
        <v>0.05</v>
      </c>
      <c r="Q189">
        <v>300</v>
      </c>
      <c r="R189">
        <v>5699.9</v>
      </c>
      <c r="S189">
        <v>455.99</v>
      </c>
      <c r="T189">
        <v>6155.89</v>
      </c>
      <c r="U189" t="s">
        <v>111</v>
      </c>
    </row>
    <row r="190" spans="1:21" x14ac:dyDescent="0.35">
      <c r="A190" t="s">
        <v>304</v>
      </c>
      <c r="B190" s="1">
        <v>44498</v>
      </c>
      <c r="C190">
        <v>2021</v>
      </c>
      <c r="D190" t="s">
        <v>142</v>
      </c>
      <c r="E190" t="s">
        <v>143</v>
      </c>
      <c r="F190" t="s">
        <v>43</v>
      </c>
      <c r="G190" t="s">
        <v>144</v>
      </c>
      <c r="H190" t="s">
        <v>54</v>
      </c>
      <c r="I190" t="s">
        <v>55</v>
      </c>
      <c r="J190" t="s">
        <v>56</v>
      </c>
      <c r="K190" t="s">
        <v>48</v>
      </c>
      <c r="L190" t="s">
        <v>38</v>
      </c>
      <c r="M190">
        <v>15</v>
      </c>
      <c r="N190">
        <v>39.99</v>
      </c>
      <c r="O190">
        <v>599.85</v>
      </c>
      <c r="P190">
        <v>0.13</v>
      </c>
      <c r="Q190">
        <v>77.98</v>
      </c>
      <c r="R190">
        <v>521.87</v>
      </c>
      <c r="S190">
        <v>41.75</v>
      </c>
      <c r="T190">
        <v>563.62</v>
      </c>
      <c r="U190" t="s">
        <v>39</v>
      </c>
    </row>
    <row r="191" spans="1:21" x14ac:dyDescent="0.35">
      <c r="A191" t="s">
        <v>305</v>
      </c>
      <c r="B191" s="1">
        <v>44498</v>
      </c>
      <c r="C191">
        <v>2021</v>
      </c>
      <c r="D191" t="s">
        <v>97</v>
      </c>
      <c r="E191" t="s">
        <v>98</v>
      </c>
      <c r="F191" t="s">
        <v>35</v>
      </c>
      <c r="G191" t="s">
        <v>99</v>
      </c>
      <c r="H191" t="s">
        <v>100</v>
      </c>
      <c r="I191" t="s">
        <v>101</v>
      </c>
      <c r="J191" t="s">
        <v>47</v>
      </c>
      <c r="K191" t="s">
        <v>68</v>
      </c>
      <c r="L191" t="s">
        <v>30</v>
      </c>
      <c r="M191">
        <v>8</v>
      </c>
      <c r="N191">
        <v>29.99</v>
      </c>
      <c r="O191">
        <v>239.92</v>
      </c>
      <c r="P191">
        <v>0</v>
      </c>
      <c r="Q191">
        <v>0</v>
      </c>
      <c r="R191">
        <v>239.92</v>
      </c>
      <c r="S191">
        <v>19.190000000000001</v>
      </c>
      <c r="T191">
        <v>0</v>
      </c>
      <c r="U191" t="s">
        <v>31</v>
      </c>
    </row>
    <row r="192" spans="1:21" x14ac:dyDescent="0.35">
      <c r="A192" t="s">
        <v>306</v>
      </c>
      <c r="B192" s="1">
        <v>44501</v>
      </c>
      <c r="C192">
        <v>2021</v>
      </c>
      <c r="D192" t="s">
        <v>91</v>
      </c>
      <c r="E192" t="s">
        <v>92</v>
      </c>
      <c r="F192" t="s">
        <v>24</v>
      </c>
      <c r="G192" t="s">
        <v>93</v>
      </c>
      <c r="H192" t="s">
        <v>208</v>
      </c>
      <c r="I192" t="s">
        <v>209</v>
      </c>
      <c r="J192" t="s">
        <v>47</v>
      </c>
      <c r="K192" t="s">
        <v>48</v>
      </c>
      <c r="L192" t="s">
        <v>69</v>
      </c>
      <c r="M192">
        <v>3</v>
      </c>
      <c r="N192">
        <v>49.99</v>
      </c>
      <c r="O192">
        <v>149.97</v>
      </c>
      <c r="P192">
        <v>0</v>
      </c>
      <c r="Q192">
        <v>0</v>
      </c>
      <c r="R192">
        <v>149.97</v>
      </c>
      <c r="S192">
        <v>12</v>
      </c>
      <c r="T192">
        <v>161.97</v>
      </c>
      <c r="U192" t="s">
        <v>39</v>
      </c>
    </row>
    <row r="193" spans="1:21" x14ac:dyDescent="0.35">
      <c r="A193" t="s">
        <v>307</v>
      </c>
      <c r="B193" s="1">
        <v>44501</v>
      </c>
      <c r="C193">
        <v>2021</v>
      </c>
      <c r="D193" t="s">
        <v>75</v>
      </c>
      <c r="E193" t="s">
        <v>76</v>
      </c>
      <c r="F193" t="s">
        <v>64</v>
      </c>
      <c r="G193" t="s">
        <v>77</v>
      </c>
      <c r="H193" t="s">
        <v>100</v>
      </c>
      <c r="I193" t="s">
        <v>101</v>
      </c>
      <c r="J193" t="s">
        <v>47</v>
      </c>
      <c r="K193" t="s">
        <v>68</v>
      </c>
      <c r="L193" t="s">
        <v>38</v>
      </c>
      <c r="M193">
        <v>23</v>
      </c>
      <c r="N193">
        <v>29.99</v>
      </c>
      <c r="O193">
        <v>689.77</v>
      </c>
      <c r="P193">
        <v>0.16</v>
      </c>
      <c r="Q193">
        <v>110.36</v>
      </c>
      <c r="R193">
        <v>579.41</v>
      </c>
      <c r="S193">
        <v>46.35</v>
      </c>
      <c r="T193">
        <v>625.76</v>
      </c>
      <c r="U193" t="s">
        <v>39</v>
      </c>
    </row>
    <row r="194" spans="1:21" x14ac:dyDescent="0.35">
      <c r="A194" t="s">
        <v>308</v>
      </c>
      <c r="B194" s="1">
        <v>44502</v>
      </c>
      <c r="C194">
        <v>2021</v>
      </c>
      <c r="D194" t="s">
        <v>22</v>
      </c>
      <c r="E194" t="s">
        <v>23</v>
      </c>
      <c r="F194" t="s">
        <v>24</v>
      </c>
      <c r="G194" t="s">
        <v>25</v>
      </c>
      <c r="H194" t="s">
        <v>26</v>
      </c>
      <c r="I194" t="s">
        <v>27</v>
      </c>
      <c r="J194" t="s">
        <v>28</v>
      </c>
      <c r="K194" t="s">
        <v>37</v>
      </c>
      <c r="L194" t="s">
        <v>49</v>
      </c>
      <c r="M194">
        <v>29</v>
      </c>
      <c r="N194">
        <v>8.99</v>
      </c>
      <c r="O194">
        <v>260.70999999999998</v>
      </c>
      <c r="P194">
        <v>0.08</v>
      </c>
      <c r="Q194">
        <v>20.86</v>
      </c>
      <c r="R194">
        <v>239.85</v>
      </c>
      <c r="S194">
        <v>19.190000000000001</v>
      </c>
      <c r="T194">
        <v>259.04000000000002</v>
      </c>
      <c r="U194" t="s">
        <v>39</v>
      </c>
    </row>
    <row r="195" spans="1:21" x14ac:dyDescent="0.35">
      <c r="A195" t="s">
        <v>309</v>
      </c>
      <c r="B195" s="1">
        <v>44506</v>
      </c>
      <c r="C195">
        <v>2021</v>
      </c>
      <c r="D195" t="s">
        <v>186</v>
      </c>
      <c r="E195" t="s">
        <v>187</v>
      </c>
      <c r="F195" t="s">
        <v>43</v>
      </c>
      <c r="G195" t="s">
        <v>188</v>
      </c>
      <c r="H195" t="s">
        <v>100</v>
      </c>
      <c r="I195" t="s">
        <v>101</v>
      </c>
      <c r="J195" t="s">
        <v>47</v>
      </c>
      <c r="K195" t="s">
        <v>68</v>
      </c>
      <c r="L195" t="s">
        <v>38</v>
      </c>
      <c r="M195">
        <v>11</v>
      </c>
      <c r="N195">
        <v>29.99</v>
      </c>
      <c r="O195">
        <v>329.89</v>
      </c>
      <c r="P195">
        <v>0.13</v>
      </c>
      <c r="Q195">
        <v>42.89</v>
      </c>
      <c r="R195">
        <v>287</v>
      </c>
      <c r="S195">
        <v>22.96</v>
      </c>
      <c r="T195">
        <v>309.95999999999998</v>
      </c>
      <c r="U195" t="s">
        <v>111</v>
      </c>
    </row>
    <row r="196" spans="1:21" x14ac:dyDescent="0.35">
      <c r="A196" t="s">
        <v>310</v>
      </c>
      <c r="B196" s="1">
        <v>44507</v>
      </c>
      <c r="C196">
        <v>2021</v>
      </c>
      <c r="D196" t="s">
        <v>142</v>
      </c>
      <c r="E196" t="s">
        <v>143</v>
      </c>
      <c r="F196" t="s">
        <v>43</v>
      </c>
      <c r="G196" t="s">
        <v>144</v>
      </c>
      <c r="H196" t="s">
        <v>45</v>
      </c>
      <c r="I196" t="s">
        <v>46</v>
      </c>
      <c r="J196" t="s">
        <v>47</v>
      </c>
      <c r="K196" t="s">
        <v>60</v>
      </c>
      <c r="L196" t="s">
        <v>49</v>
      </c>
      <c r="M196">
        <v>6</v>
      </c>
      <c r="N196">
        <v>89.99</v>
      </c>
      <c r="O196">
        <v>539.94000000000005</v>
      </c>
      <c r="P196">
        <v>0</v>
      </c>
      <c r="Q196">
        <v>0</v>
      </c>
      <c r="R196">
        <v>539.94000000000005</v>
      </c>
      <c r="S196">
        <v>43.2</v>
      </c>
      <c r="T196">
        <v>583.14</v>
      </c>
      <c r="U196" t="s">
        <v>39</v>
      </c>
    </row>
    <row r="197" spans="1:21" x14ac:dyDescent="0.35">
      <c r="A197" t="s">
        <v>311</v>
      </c>
      <c r="B197" s="1">
        <v>44509</v>
      </c>
      <c r="C197">
        <v>2021</v>
      </c>
      <c r="D197" t="s">
        <v>22</v>
      </c>
      <c r="E197" t="s">
        <v>23</v>
      </c>
      <c r="F197" t="s">
        <v>24</v>
      </c>
      <c r="G197" t="s">
        <v>25</v>
      </c>
      <c r="H197" t="s">
        <v>84</v>
      </c>
      <c r="I197" t="s">
        <v>85</v>
      </c>
      <c r="J197" t="s">
        <v>47</v>
      </c>
      <c r="K197" t="s">
        <v>29</v>
      </c>
      <c r="L197" t="s">
        <v>73</v>
      </c>
      <c r="M197">
        <v>3</v>
      </c>
      <c r="N197">
        <v>249.99</v>
      </c>
      <c r="O197">
        <v>749.97</v>
      </c>
      <c r="P197">
        <v>0</v>
      </c>
      <c r="Q197">
        <v>0</v>
      </c>
      <c r="R197">
        <v>749.97</v>
      </c>
      <c r="S197">
        <v>60</v>
      </c>
      <c r="T197">
        <v>809.97</v>
      </c>
      <c r="U197" t="s">
        <v>39</v>
      </c>
    </row>
    <row r="198" spans="1:21" x14ac:dyDescent="0.35">
      <c r="A198" t="s">
        <v>312</v>
      </c>
      <c r="B198" s="1">
        <v>44517</v>
      </c>
      <c r="C198">
        <v>2021</v>
      </c>
      <c r="D198" t="s">
        <v>33</v>
      </c>
      <c r="E198" t="s">
        <v>34</v>
      </c>
      <c r="F198" t="s">
        <v>35</v>
      </c>
      <c r="G198" t="s">
        <v>36</v>
      </c>
      <c r="H198" t="s">
        <v>84</v>
      </c>
      <c r="I198" t="s">
        <v>85</v>
      </c>
      <c r="J198" t="s">
        <v>47</v>
      </c>
      <c r="K198" t="s">
        <v>37</v>
      </c>
      <c r="L198" t="s">
        <v>30</v>
      </c>
      <c r="M198">
        <v>11</v>
      </c>
      <c r="N198">
        <v>249.99</v>
      </c>
      <c r="O198">
        <v>2749.89</v>
      </c>
      <c r="P198">
        <v>0.05</v>
      </c>
      <c r="Q198">
        <v>137.49</v>
      </c>
      <c r="R198">
        <v>2612.4</v>
      </c>
      <c r="S198">
        <v>208.99</v>
      </c>
      <c r="T198">
        <v>2821.39</v>
      </c>
      <c r="U198" t="s">
        <v>39</v>
      </c>
    </row>
    <row r="199" spans="1:21" x14ac:dyDescent="0.35">
      <c r="A199" t="s">
        <v>313</v>
      </c>
      <c r="B199" s="1">
        <v>44518</v>
      </c>
      <c r="C199">
        <v>2021</v>
      </c>
      <c r="D199" t="s">
        <v>81</v>
      </c>
      <c r="E199" t="s">
        <v>82</v>
      </c>
      <c r="F199" t="s">
        <v>35</v>
      </c>
      <c r="G199" t="s">
        <v>83</v>
      </c>
      <c r="H199" t="s">
        <v>145</v>
      </c>
      <c r="I199" t="s">
        <v>146</v>
      </c>
      <c r="J199" t="s">
        <v>47</v>
      </c>
      <c r="K199" t="s">
        <v>29</v>
      </c>
      <c r="L199" t="s">
        <v>69</v>
      </c>
      <c r="M199">
        <v>23</v>
      </c>
      <c r="N199">
        <v>129.99</v>
      </c>
      <c r="O199">
        <v>2989.77</v>
      </c>
      <c r="P199">
        <v>0.08</v>
      </c>
      <c r="Q199">
        <v>239.18</v>
      </c>
      <c r="R199">
        <v>2750.59</v>
      </c>
      <c r="S199">
        <v>220.05</v>
      </c>
      <c r="T199">
        <v>0</v>
      </c>
      <c r="U199" t="s">
        <v>31</v>
      </c>
    </row>
    <row r="200" spans="1:21" x14ac:dyDescent="0.35">
      <c r="A200" t="s">
        <v>314</v>
      </c>
      <c r="B200" s="1">
        <v>44518</v>
      </c>
      <c r="C200">
        <v>2021</v>
      </c>
      <c r="D200" t="s">
        <v>186</v>
      </c>
      <c r="E200" t="s">
        <v>187</v>
      </c>
      <c r="F200" t="s">
        <v>43</v>
      </c>
      <c r="G200" t="s">
        <v>188</v>
      </c>
      <c r="H200" t="s">
        <v>94</v>
      </c>
      <c r="I200" t="s">
        <v>95</v>
      </c>
      <c r="J200" t="s">
        <v>56</v>
      </c>
      <c r="K200" t="s">
        <v>37</v>
      </c>
      <c r="L200" t="s">
        <v>73</v>
      </c>
      <c r="M200">
        <v>4</v>
      </c>
      <c r="N200">
        <v>349.99</v>
      </c>
      <c r="O200">
        <v>1399.96</v>
      </c>
      <c r="P200">
        <v>0</v>
      </c>
      <c r="Q200">
        <v>0</v>
      </c>
      <c r="R200">
        <v>1399.96</v>
      </c>
      <c r="S200">
        <v>112</v>
      </c>
      <c r="T200">
        <v>1511.96</v>
      </c>
      <c r="U200" t="s">
        <v>111</v>
      </c>
    </row>
    <row r="201" spans="1:21" x14ac:dyDescent="0.35">
      <c r="A201" t="s">
        <v>315</v>
      </c>
      <c r="B201" s="1">
        <v>44519</v>
      </c>
      <c r="C201">
        <v>2021</v>
      </c>
      <c r="D201" t="s">
        <v>41</v>
      </c>
      <c r="E201" t="s">
        <v>42</v>
      </c>
      <c r="F201" t="s">
        <v>43</v>
      </c>
      <c r="G201" t="s">
        <v>44</v>
      </c>
      <c r="H201" t="s">
        <v>94</v>
      </c>
      <c r="I201" t="s">
        <v>95</v>
      </c>
      <c r="J201" t="s">
        <v>56</v>
      </c>
      <c r="K201" t="s">
        <v>48</v>
      </c>
      <c r="L201" t="s">
        <v>69</v>
      </c>
      <c r="M201">
        <v>14</v>
      </c>
      <c r="N201">
        <v>349.99</v>
      </c>
      <c r="O201">
        <v>4899.8599999999997</v>
      </c>
      <c r="P201">
        <v>0.05</v>
      </c>
      <c r="Q201">
        <v>244.99</v>
      </c>
      <c r="R201">
        <v>4654.87</v>
      </c>
      <c r="S201">
        <v>372.39</v>
      </c>
      <c r="T201">
        <v>5027.26</v>
      </c>
      <c r="U201" t="s">
        <v>39</v>
      </c>
    </row>
    <row r="202" spans="1:21" x14ac:dyDescent="0.35">
      <c r="A202" t="s">
        <v>316</v>
      </c>
      <c r="B202" s="1">
        <v>44522</v>
      </c>
      <c r="C202">
        <v>2021</v>
      </c>
      <c r="D202" t="s">
        <v>22</v>
      </c>
      <c r="E202" t="s">
        <v>23</v>
      </c>
      <c r="F202" t="s">
        <v>24</v>
      </c>
      <c r="G202" t="s">
        <v>25</v>
      </c>
      <c r="H202" t="s">
        <v>66</v>
      </c>
      <c r="I202" t="s">
        <v>67</v>
      </c>
      <c r="J202" t="s">
        <v>56</v>
      </c>
      <c r="K202" t="s">
        <v>29</v>
      </c>
      <c r="L202" t="s">
        <v>30</v>
      </c>
      <c r="M202">
        <v>8</v>
      </c>
      <c r="N202">
        <v>229.99</v>
      </c>
      <c r="O202">
        <v>1839.92</v>
      </c>
      <c r="P202">
        <v>0</v>
      </c>
      <c r="Q202">
        <v>0</v>
      </c>
      <c r="R202">
        <v>1839.92</v>
      </c>
      <c r="S202">
        <v>147.19</v>
      </c>
      <c r="T202">
        <v>1987.11</v>
      </c>
      <c r="U202" t="s">
        <v>39</v>
      </c>
    </row>
    <row r="203" spans="1:21" x14ac:dyDescent="0.35">
      <c r="A203" t="s">
        <v>317</v>
      </c>
      <c r="B203" s="1">
        <v>44522</v>
      </c>
      <c r="C203">
        <v>2021</v>
      </c>
      <c r="D203" t="s">
        <v>107</v>
      </c>
      <c r="E203" t="s">
        <v>108</v>
      </c>
      <c r="F203" t="s">
        <v>35</v>
      </c>
      <c r="G203" t="s">
        <v>109</v>
      </c>
      <c r="H203" t="s">
        <v>26</v>
      </c>
      <c r="I203" t="s">
        <v>27</v>
      </c>
      <c r="J203" t="s">
        <v>28</v>
      </c>
      <c r="K203" t="s">
        <v>48</v>
      </c>
      <c r="L203" t="s">
        <v>73</v>
      </c>
      <c r="M203">
        <v>3</v>
      </c>
      <c r="N203">
        <v>8.99</v>
      </c>
      <c r="O203">
        <v>26.97</v>
      </c>
      <c r="P203">
        <v>0</v>
      </c>
      <c r="Q203">
        <v>0</v>
      </c>
      <c r="R203">
        <v>26.97</v>
      </c>
      <c r="S203">
        <v>2.16</v>
      </c>
      <c r="T203">
        <v>29.13</v>
      </c>
      <c r="U203" t="s">
        <v>111</v>
      </c>
    </row>
    <row r="204" spans="1:21" x14ac:dyDescent="0.35">
      <c r="A204" t="s">
        <v>318</v>
      </c>
      <c r="B204" s="1">
        <v>44523</v>
      </c>
      <c r="C204">
        <v>2021</v>
      </c>
      <c r="D204" t="s">
        <v>62</v>
      </c>
      <c r="E204" t="s">
        <v>63</v>
      </c>
      <c r="F204" t="s">
        <v>64</v>
      </c>
      <c r="G204" t="s">
        <v>65</v>
      </c>
      <c r="H204" t="s">
        <v>78</v>
      </c>
      <c r="I204" t="s">
        <v>79</v>
      </c>
      <c r="J204" t="s">
        <v>28</v>
      </c>
      <c r="K204" t="s">
        <v>37</v>
      </c>
      <c r="L204" t="s">
        <v>30</v>
      </c>
      <c r="M204">
        <v>27</v>
      </c>
      <c r="N204">
        <v>5.99</v>
      </c>
      <c r="O204">
        <v>161.72999999999999</v>
      </c>
      <c r="P204">
        <v>0.08</v>
      </c>
      <c r="Q204">
        <v>12.94</v>
      </c>
      <c r="R204">
        <v>148.79</v>
      </c>
      <c r="S204">
        <v>11.9</v>
      </c>
      <c r="T204">
        <v>160.69</v>
      </c>
      <c r="U204" t="s">
        <v>39</v>
      </c>
    </row>
    <row r="205" spans="1:21" x14ac:dyDescent="0.35">
      <c r="A205" t="s">
        <v>319</v>
      </c>
      <c r="B205" s="1">
        <v>44524</v>
      </c>
      <c r="C205">
        <v>2021</v>
      </c>
      <c r="D205" t="s">
        <v>142</v>
      </c>
      <c r="E205" t="s">
        <v>143</v>
      </c>
      <c r="F205" t="s">
        <v>43</v>
      </c>
      <c r="G205" t="s">
        <v>144</v>
      </c>
      <c r="H205" t="s">
        <v>78</v>
      </c>
      <c r="I205" t="s">
        <v>79</v>
      </c>
      <c r="J205" t="s">
        <v>28</v>
      </c>
      <c r="K205" t="s">
        <v>29</v>
      </c>
      <c r="L205" t="s">
        <v>38</v>
      </c>
      <c r="M205">
        <v>9</v>
      </c>
      <c r="N205">
        <v>5.99</v>
      </c>
      <c r="O205">
        <v>53.91</v>
      </c>
      <c r="P205">
        <v>0.08</v>
      </c>
      <c r="Q205">
        <v>4.3099999999999996</v>
      </c>
      <c r="R205">
        <v>49.6</v>
      </c>
      <c r="S205">
        <v>3.97</v>
      </c>
      <c r="T205">
        <v>53.57</v>
      </c>
      <c r="U205" t="s">
        <v>39</v>
      </c>
    </row>
    <row r="206" spans="1:21" x14ac:dyDescent="0.35">
      <c r="A206" t="s">
        <v>320</v>
      </c>
      <c r="B206" s="1">
        <v>44525</v>
      </c>
      <c r="C206">
        <v>2021</v>
      </c>
      <c r="D206" t="s">
        <v>81</v>
      </c>
      <c r="E206" t="s">
        <v>82</v>
      </c>
      <c r="F206" t="s">
        <v>35</v>
      </c>
      <c r="G206" t="s">
        <v>83</v>
      </c>
      <c r="H206" t="s">
        <v>84</v>
      </c>
      <c r="I206" t="s">
        <v>85</v>
      </c>
      <c r="J206" t="s">
        <v>47</v>
      </c>
      <c r="K206" t="s">
        <v>68</v>
      </c>
      <c r="L206" t="s">
        <v>30</v>
      </c>
      <c r="M206">
        <v>25</v>
      </c>
      <c r="N206">
        <v>249.99</v>
      </c>
      <c r="O206">
        <v>6249.75</v>
      </c>
      <c r="P206">
        <v>0.08</v>
      </c>
      <c r="Q206">
        <v>499.98</v>
      </c>
      <c r="R206">
        <v>5749.77</v>
      </c>
      <c r="S206">
        <v>459.98</v>
      </c>
      <c r="T206">
        <v>6209.75</v>
      </c>
      <c r="U206" t="s">
        <v>39</v>
      </c>
    </row>
    <row r="207" spans="1:21" x14ac:dyDescent="0.35">
      <c r="A207" t="s">
        <v>321</v>
      </c>
      <c r="B207" s="1">
        <v>44530</v>
      </c>
      <c r="C207">
        <v>2021</v>
      </c>
      <c r="D207" t="s">
        <v>97</v>
      </c>
      <c r="E207" t="s">
        <v>98</v>
      </c>
      <c r="F207" t="s">
        <v>35</v>
      </c>
      <c r="G207" t="s">
        <v>99</v>
      </c>
      <c r="H207" t="s">
        <v>71</v>
      </c>
      <c r="I207" t="s">
        <v>72</v>
      </c>
      <c r="J207" t="s">
        <v>47</v>
      </c>
      <c r="K207" t="s">
        <v>60</v>
      </c>
      <c r="L207" t="s">
        <v>38</v>
      </c>
      <c r="M207">
        <v>22</v>
      </c>
      <c r="N207">
        <v>1199.99</v>
      </c>
      <c r="O207">
        <v>26399.78</v>
      </c>
      <c r="P207">
        <v>0.16</v>
      </c>
      <c r="Q207">
        <v>4223.96</v>
      </c>
      <c r="R207">
        <v>22175.82</v>
      </c>
      <c r="S207">
        <v>1774.07</v>
      </c>
      <c r="T207">
        <v>23949.89</v>
      </c>
      <c r="U207" t="s">
        <v>39</v>
      </c>
    </row>
    <row r="208" spans="1:21" x14ac:dyDescent="0.35">
      <c r="A208" t="s">
        <v>322</v>
      </c>
      <c r="B208" s="1">
        <v>44534</v>
      </c>
      <c r="C208">
        <v>2021</v>
      </c>
      <c r="D208" t="s">
        <v>142</v>
      </c>
      <c r="E208" t="s">
        <v>143</v>
      </c>
      <c r="F208" t="s">
        <v>43</v>
      </c>
      <c r="G208" t="s">
        <v>144</v>
      </c>
      <c r="H208" t="s">
        <v>84</v>
      </c>
      <c r="I208" t="s">
        <v>85</v>
      </c>
      <c r="J208" t="s">
        <v>47</v>
      </c>
      <c r="K208" t="s">
        <v>48</v>
      </c>
      <c r="L208" t="s">
        <v>38</v>
      </c>
      <c r="M208">
        <v>6</v>
      </c>
      <c r="N208">
        <v>249.99</v>
      </c>
      <c r="O208">
        <v>1499.94</v>
      </c>
      <c r="P208">
        <v>0.08</v>
      </c>
      <c r="Q208">
        <v>120</v>
      </c>
      <c r="R208">
        <v>1379.94</v>
      </c>
      <c r="S208">
        <v>110.4</v>
      </c>
      <c r="T208">
        <v>1490.34</v>
      </c>
      <c r="U208" t="s">
        <v>111</v>
      </c>
    </row>
    <row r="209" spans="1:21" x14ac:dyDescent="0.35">
      <c r="A209" t="s">
        <v>323</v>
      </c>
      <c r="B209" s="1">
        <v>44536</v>
      </c>
      <c r="C209">
        <v>2021</v>
      </c>
      <c r="D209" t="s">
        <v>51</v>
      </c>
      <c r="E209" t="s">
        <v>52</v>
      </c>
      <c r="F209" t="s">
        <v>24</v>
      </c>
      <c r="G209" t="s">
        <v>53</v>
      </c>
      <c r="H209" t="s">
        <v>145</v>
      </c>
      <c r="I209" t="s">
        <v>146</v>
      </c>
      <c r="J209" t="s">
        <v>47</v>
      </c>
      <c r="K209" t="s">
        <v>29</v>
      </c>
      <c r="L209" t="s">
        <v>69</v>
      </c>
      <c r="M209">
        <v>3</v>
      </c>
      <c r="N209">
        <v>129.99</v>
      </c>
      <c r="O209">
        <v>389.97</v>
      </c>
      <c r="P209">
        <v>0</v>
      </c>
      <c r="Q209">
        <v>0</v>
      </c>
      <c r="R209">
        <v>389.97</v>
      </c>
      <c r="S209">
        <v>31.2</v>
      </c>
      <c r="T209">
        <v>421.17</v>
      </c>
      <c r="U209" t="s">
        <v>39</v>
      </c>
    </row>
    <row r="210" spans="1:21" x14ac:dyDescent="0.35">
      <c r="A210" t="s">
        <v>324</v>
      </c>
      <c r="B210" s="1">
        <v>44537</v>
      </c>
      <c r="C210">
        <v>2021</v>
      </c>
      <c r="D210" t="s">
        <v>81</v>
      </c>
      <c r="E210" t="s">
        <v>82</v>
      </c>
      <c r="F210" t="s">
        <v>35</v>
      </c>
      <c r="G210" t="s">
        <v>83</v>
      </c>
      <c r="H210" t="s">
        <v>84</v>
      </c>
      <c r="I210" t="s">
        <v>85</v>
      </c>
      <c r="J210" t="s">
        <v>47</v>
      </c>
      <c r="K210" t="s">
        <v>29</v>
      </c>
      <c r="L210" t="s">
        <v>49</v>
      </c>
      <c r="M210">
        <v>3</v>
      </c>
      <c r="N210">
        <v>249.99</v>
      </c>
      <c r="O210">
        <v>749.97</v>
      </c>
      <c r="P210">
        <v>0</v>
      </c>
      <c r="Q210">
        <v>0</v>
      </c>
      <c r="R210">
        <v>749.97</v>
      </c>
      <c r="S210">
        <v>60</v>
      </c>
      <c r="T210">
        <v>809.97</v>
      </c>
      <c r="U210" t="s">
        <v>39</v>
      </c>
    </row>
    <row r="211" spans="1:21" x14ac:dyDescent="0.35">
      <c r="A211" t="s">
        <v>325</v>
      </c>
      <c r="B211" s="1">
        <v>44538</v>
      </c>
      <c r="C211">
        <v>2021</v>
      </c>
      <c r="D211" t="s">
        <v>142</v>
      </c>
      <c r="E211" t="s">
        <v>143</v>
      </c>
      <c r="F211" t="s">
        <v>43</v>
      </c>
      <c r="G211" t="s">
        <v>144</v>
      </c>
      <c r="H211" t="s">
        <v>208</v>
      </c>
      <c r="I211" t="s">
        <v>209</v>
      </c>
      <c r="J211" t="s">
        <v>47</v>
      </c>
      <c r="K211" t="s">
        <v>60</v>
      </c>
      <c r="L211" t="s">
        <v>49</v>
      </c>
      <c r="M211">
        <v>9</v>
      </c>
      <c r="N211">
        <v>49.99</v>
      </c>
      <c r="O211">
        <v>449.91</v>
      </c>
      <c r="P211">
        <v>0</v>
      </c>
      <c r="Q211">
        <v>0</v>
      </c>
      <c r="R211">
        <v>449.91</v>
      </c>
      <c r="S211">
        <v>35.99</v>
      </c>
      <c r="T211">
        <v>485.9</v>
      </c>
      <c r="U211" t="s">
        <v>39</v>
      </c>
    </row>
    <row r="212" spans="1:21" x14ac:dyDescent="0.35">
      <c r="A212" t="s">
        <v>326</v>
      </c>
      <c r="B212" s="1">
        <v>44539</v>
      </c>
      <c r="C212">
        <v>2021</v>
      </c>
      <c r="D212" t="s">
        <v>97</v>
      </c>
      <c r="E212" t="s">
        <v>98</v>
      </c>
      <c r="F212" t="s">
        <v>35</v>
      </c>
      <c r="G212" t="s">
        <v>99</v>
      </c>
      <c r="H212" t="s">
        <v>104</v>
      </c>
      <c r="I212" t="s">
        <v>105</v>
      </c>
      <c r="J212" t="s">
        <v>47</v>
      </c>
      <c r="K212" t="s">
        <v>68</v>
      </c>
      <c r="L212" t="s">
        <v>30</v>
      </c>
      <c r="M212">
        <v>9</v>
      </c>
      <c r="N212">
        <v>479.99</v>
      </c>
      <c r="O212">
        <v>4319.91</v>
      </c>
      <c r="P212">
        <v>0</v>
      </c>
      <c r="Q212">
        <v>0</v>
      </c>
      <c r="R212">
        <v>4319.91</v>
      </c>
      <c r="S212">
        <v>345.59</v>
      </c>
      <c r="T212">
        <v>4665.5</v>
      </c>
      <c r="U212" t="s">
        <v>39</v>
      </c>
    </row>
    <row r="213" spans="1:21" x14ac:dyDescent="0.35">
      <c r="A213" t="s">
        <v>327</v>
      </c>
      <c r="B213" s="1">
        <v>44541</v>
      </c>
      <c r="C213">
        <v>2021</v>
      </c>
      <c r="D213" t="s">
        <v>51</v>
      </c>
      <c r="E213" t="s">
        <v>52</v>
      </c>
      <c r="F213" t="s">
        <v>24</v>
      </c>
      <c r="G213" t="s">
        <v>53</v>
      </c>
      <c r="H213" t="s">
        <v>71</v>
      </c>
      <c r="I213" t="s">
        <v>72</v>
      </c>
      <c r="J213" t="s">
        <v>47</v>
      </c>
      <c r="K213" t="s">
        <v>48</v>
      </c>
      <c r="L213" t="s">
        <v>69</v>
      </c>
      <c r="M213">
        <v>12</v>
      </c>
      <c r="N213">
        <v>1199.99</v>
      </c>
      <c r="O213">
        <v>14399.88</v>
      </c>
      <c r="P213">
        <v>0.05</v>
      </c>
      <c r="Q213">
        <v>719.99</v>
      </c>
      <c r="R213">
        <v>13679.89</v>
      </c>
      <c r="S213">
        <v>1094.3900000000001</v>
      </c>
      <c r="T213">
        <v>14774.28</v>
      </c>
      <c r="U213" t="s">
        <v>39</v>
      </c>
    </row>
    <row r="214" spans="1:21" x14ac:dyDescent="0.35">
      <c r="A214" t="s">
        <v>328</v>
      </c>
      <c r="B214" s="1">
        <v>44550</v>
      </c>
      <c r="C214">
        <v>2021</v>
      </c>
      <c r="D214" t="s">
        <v>186</v>
      </c>
      <c r="E214" t="s">
        <v>187</v>
      </c>
      <c r="F214" t="s">
        <v>43</v>
      </c>
      <c r="G214" t="s">
        <v>188</v>
      </c>
      <c r="H214" t="s">
        <v>104</v>
      </c>
      <c r="I214" t="s">
        <v>105</v>
      </c>
      <c r="J214" t="s">
        <v>47</v>
      </c>
      <c r="K214" t="s">
        <v>60</v>
      </c>
      <c r="L214" t="s">
        <v>73</v>
      </c>
      <c r="M214">
        <v>25</v>
      </c>
      <c r="N214">
        <v>479.99</v>
      </c>
      <c r="O214">
        <v>11999.75</v>
      </c>
      <c r="P214">
        <v>0.08</v>
      </c>
      <c r="Q214">
        <v>959.98</v>
      </c>
      <c r="R214">
        <v>11039.77</v>
      </c>
      <c r="S214">
        <v>883.18</v>
      </c>
      <c r="T214">
        <v>0</v>
      </c>
      <c r="U214" t="s">
        <v>31</v>
      </c>
    </row>
    <row r="215" spans="1:21" x14ac:dyDescent="0.35">
      <c r="A215" t="s">
        <v>329</v>
      </c>
      <c r="B215" s="1">
        <v>44550</v>
      </c>
      <c r="C215">
        <v>2021</v>
      </c>
      <c r="D215" t="s">
        <v>41</v>
      </c>
      <c r="E215" t="s">
        <v>42</v>
      </c>
      <c r="F215" t="s">
        <v>43</v>
      </c>
      <c r="G215" t="s">
        <v>44</v>
      </c>
      <c r="H215" t="s">
        <v>104</v>
      </c>
      <c r="I215" t="s">
        <v>105</v>
      </c>
      <c r="J215" t="s">
        <v>47</v>
      </c>
      <c r="K215" t="s">
        <v>48</v>
      </c>
      <c r="L215" t="s">
        <v>38</v>
      </c>
      <c r="M215">
        <v>2</v>
      </c>
      <c r="N215">
        <v>479.99</v>
      </c>
      <c r="O215">
        <v>959.98</v>
      </c>
      <c r="P215">
        <v>0.08</v>
      </c>
      <c r="Q215">
        <v>76.8</v>
      </c>
      <c r="R215">
        <v>883.18</v>
      </c>
      <c r="S215">
        <v>70.650000000000006</v>
      </c>
      <c r="T215">
        <v>953.83</v>
      </c>
      <c r="U215" t="s">
        <v>39</v>
      </c>
    </row>
    <row r="216" spans="1:21" x14ac:dyDescent="0.35">
      <c r="A216" t="s">
        <v>330</v>
      </c>
      <c r="B216" s="1">
        <v>44552</v>
      </c>
      <c r="C216">
        <v>2021</v>
      </c>
      <c r="D216" t="s">
        <v>97</v>
      </c>
      <c r="E216" t="s">
        <v>98</v>
      </c>
      <c r="F216" t="s">
        <v>35</v>
      </c>
      <c r="G216" t="s">
        <v>99</v>
      </c>
      <c r="H216" t="s">
        <v>26</v>
      </c>
      <c r="I216" t="s">
        <v>27</v>
      </c>
      <c r="J216" t="s">
        <v>28</v>
      </c>
      <c r="K216" t="s">
        <v>68</v>
      </c>
      <c r="L216" t="s">
        <v>73</v>
      </c>
      <c r="M216">
        <v>14</v>
      </c>
      <c r="N216">
        <v>8.99</v>
      </c>
      <c r="O216">
        <v>125.86</v>
      </c>
      <c r="P216">
        <v>0.05</v>
      </c>
      <c r="Q216">
        <v>6.29</v>
      </c>
      <c r="R216">
        <v>119.57</v>
      </c>
      <c r="S216">
        <v>9.57</v>
      </c>
      <c r="T216">
        <v>129.13999999999999</v>
      </c>
      <c r="U216" t="s">
        <v>39</v>
      </c>
    </row>
    <row r="217" spans="1:21" x14ac:dyDescent="0.35">
      <c r="A217" t="s">
        <v>331</v>
      </c>
      <c r="B217" s="1">
        <v>44553</v>
      </c>
      <c r="C217">
        <v>2021</v>
      </c>
      <c r="D217" t="s">
        <v>122</v>
      </c>
      <c r="E217" t="s">
        <v>123</v>
      </c>
      <c r="F217" t="s">
        <v>64</v>
      </c>
      <c r="G217" t="s">
        <v>124</v>
      </c>
      <c r="H217" t="s">
        <v>71</v>
      </c>
      <c r="I217" t="s">
        <v>72</v>
      </c>
      <c r="J217" t="s">
        <v>47</v>
      </c>
      <c r="K217" t="s">
        <v>37</v>
      </c>
      <c r="L217" t="s">
        <v>38</v>
      </c>
      <c r="M217">
        <v>14</v>
      </c>
      <c r="N217">
        <v>1199.99</v>
      </c>
      <c r="O217">
        <v>16799.86</v>
      </c>
      <c r="P217">
        <v>0.13</v>
      </c>
      <c r="Q217">
        <v>2183.98</v>
      </c>
      <c r="R217">
        <v>14615.88</v>
      </c>
      <c r="S217">
        <v>1169.27</v>
      </c>
      <c r="T217">
        <v>15785.15</v>
      </c>
      <c r="U217" t="s">
        <v>39</v>
      </c>
    </row>
    <row r="218" spans="1:21" x14ac:dyDescent="0.35">
      <c r="A218" t="s">
        <v>332</v>
      </c>
      <c r="B218" s="1">
        <v>44553</v>
      </c>
      <c r="C218">
        <v>2021</v>
      </c>
      <c r="D218" t="s">
        <v>122</v>
      </c>
      <c r="E218" t="s">
        <v>123</v>
      </c>
      <c r="F218" t="s">
        <v>64</v>
      </c>
      <c r="G218" t="s">
        <v>124</v>
      </c>
      <c r="H218" t="s">
        <v>208</v>
      </c>
      <c r="I218" t="s">
        <v>209</v>
      </c>
      <c r="J218" t="s">
        <v>47</v>
      </c>
      <c r="K218" t="s">
        <v>60</v>
      </c>
      <c r="L218" t="s">
        <v>49</v>
      </c>
      <c r="M218">
        <v>24</v>
      </c>
      <c r="N218">
        <v>49.99</v>
      </c>
      <c r="O218">
        <v>1199.76</v>
      </c>
      <c r="P218">
        <v>0.08</v>
      </c>
      <c r="Q218">
        <v>95.98</v>
      </c>
      <c r="R218">
        <v>1103.78</v>
      </c>
      <c r="S218">
        <v>88.3</v>
      </c>
      <c r="T218">
        <v>1192.08</v>
      </c>
      <c r="U218" t="s">
        <v>111</v>
      </c>
    </row>
    <row r="219" spans="1:21" x14ac:dyDescent="0.35">
      <c r="A219" t="s">
        <v>333</v>
      </c>
      <c r="B219" s="1">
        <v>44554</v>
      </c>
      <c r="C219">
        <v>2021</v>
      </c>
      <c r="D219" t="s">
        <v>51</v>
      </c>
      <c r="E219" t="s">
        <v>52</v>
      </c>
      <c r="F219" t="s">
        <v>24</v>
      </c>
      <c r="G219" t="s">
        <v>53</v>
      </c>
      <c r="H219" t="s">
        <v>94</v>
      </c>
      <c r="I219" t="s">
        <v>95</v>
      </c>
      <c r="J219" t="s">
        <v>56</v>
      </c>
      <c r="K219" t="s">
        <v>48</v>
      </c>
      <c r="L219" t="s">
        <v>73</v>
      </c>
      <c r="M219">
        <v>15</v>
      </c>
      <c r="N219">
        <v>349.99</v>
      </c>
      <c r="O219">
        <v>5249.85</v>
      </c>
      <c r="P219">
        <v>0.05</v>
      </c>
      <c r="Q219">
        <v>262.49</v>
      </c>
      <c r="R219">
        <v>4987.3599999999997</v>
      </c>
      <c r="S219">
        <v>398.99</v>
      </c>
      <c r="T219">
        <v>5386.35</v>
      </c>
      <c r="U219" t="s">
        <v>39</v>
      </c>
    </row>
    <row r="220" spans="1:21" x14ac:dyDescent="0.35">
      <c r="A220" t="s">
        <v>334</v>
      </c>
      <c r="B220" s="1">
        <v>44556</v>
      </c>
      <c r="C220">
        <v>2021</v>
      </c>
      <c r="D220" t="s">
        <v>97</v>
      </c>
      <c r="E220" t="s">
        <v>98</v>
      </c>
      <c r="F220" t="s">
        <v>35</v>
      </c>
      <c r="G220" t="s">
        <v>99</v>
      </c>
      <c r="H220" t="s">
        <v>208</v>
      </c>
      <c r="I220" t="s">
        <v>209</v>
      </c>
      <c r="J220" t="s">
        <v>47</v>
      </c>
      <c r="K220" t="s">
        <v>37</v>
      </c>
      <c r="L220" t="s">
        <v>73</v>
      </c>
      <c r="M220">
        <v>9</v>
      </c>
      <c r="N220">
        <v>49.99</v>
      </c>
      <c r="O220">
        <v>449.91</v>
      </c>
      <c r="P220">
        <v>0</v>
      </c>
      <c r="Q220">
        <v>0</v>
      </c>
      <c r="R220">
        <v>449.91</v>
      </c>
      <c r="S220">
        <v>35.99</v>
      </c>
      <c r="T220">
        <v>485.9</v>
      </c>
      <c r="U220" t="s">
        <v>111</v>
      </c>
    </row>
    <row r="221" spans="1:21" x14ac:dyDescent="0.35">
      <c r="A221" t="s">
        <v>335</v>
      </c>
      <c r="B221" s="1">
        <v>44557</v>
      </c>
      <c r="C221">
        <v>2021</v>
      </c>
      <c r="D221" t="s">
        <v>148</v>
      </c>
      <c r="E221" t="s">
        <v>149</v>
      </c>
      <c r="F221" t="s">
        <v>43</v>
      </c>
      <c r="G221" t="s">
        <v>150</v>
      </c>
      <c r="H221" t="s">
        <v>58</v>
      </c>
      <c r="I221" t="s">
        <v>59</v>
      </c>
      <c r="J221" t="s">
        <v>56</v>
      </c>
      <c r="K221" t="s">
        <v>48</v>
      </c>
      <c r="L221" t="s">
        <v>49</v>
      </c>
      <c r="M221">
        <v>7</v>
      </c>
      <c r="N221">
        <v>599.99</v>
      </c>
      <c r="O221">
        <v>4199.93</v>
      </c>
      <c r="P221">
        <v>0</v>
      </c>
      <c r="Q221">
        <v>0</v>
      </c>
      <c r="R221">
        <v>4199.93</v>
      </c>
      <c r="S221">
        <v>335.99</v>
      </c>
      <c r="T221">
        <v>0</v>
      </c>
      <c r="U221" t="s">
        <v>31</v>
      </c>
    </row>
    <row r="222" spans="1:21" x14ac:dyDescent="0.35">
      <c r="A222" t="s">
        <v>336</v>
      </c>
      <c r="B222" s="1">
        <v>44570</v>
      </c>
      <c r="C222">
        <v>2022</v>
      </c>
      <c r="D222" t="s">
        <v>91</v>
      </c>
      <c r="E222" t="s">
        <v>92</v>
      </c>
      <c r="F222" t="s">
        <v>24</v>
      </c>
      <c r="G222" t="s">
        <v>93</v>
      </c>
      <c r="H222" t="s">
        <v>208</v>
      </c>
      <c r="I222" t="s">
        <v>209</v>
      </c>
      <c r="J222" t="s">
        <v>47</v>
      </c>
      <c r="K222" t="s">
        <v>37</v>
      </c>
      <c r="L222" t="s">
        <v>73</v>
      </c>
      <c r="M222">
        <v>11</v>
      </c>
      <c r="N222">
        <v>49.99</v>
      </c>
      <c r="O222">
        <v>549.89</v>
      </c>
      <c r="P222">
        <v>0.05</v>
      </c>
      <c r="Q222">
        <v>27.49</v>
      </c>
      <c r="R222">
        <v>522.4</v>
      </c>
      <c r="S222">
        <v>41.79</v>
      </c>
      <c r="T222">
        <v>0</v>
      </c>
      <c r="U222" t="s">
        <v>31</v>
      </c>
    </row>
    <row r="223" spans="1:21" x14ac:dyDescent="0.35">
      <c r="A223" t="s">
        <v>337</v>
      </c>
      <c r="B223" s="1">
        <v>44570</v>
      </c>
      <c r="C223">
        <v>2022</v>
      </c>
      <c r="D223" t="s">
        <v>62</v>
      </c>
      <c r="E223" t="s">
        <v>63</v>
      </c>
      <c r="F223" t="s">
        <v>64</v>
      </c>
      <c r="G223" t="s">
        <v>65</v>
      </c>
      <c r="H223" t="s">
        <v>71</v>
      </c>
      <c r="I223" t="s">
        <v>72</v>
      </c>
      <c r="J223" t="s">
        <v>47</v>
      </c>
      <c r="K223" t="s">
        <v>60</v>
      </c>
      <c r="L223" t="s">
        <v>49</v>
      </c>
      <c r="M223">
        <v>24</v>
      </c>
      <c r="N223">
        <v>1199.99</v>
      </c>
      <c r="O223">
        <v>28799.759999999998</v>
      </c>
      <c r="P223">
        <v>0.08</v>
      </c>
      <c r="Q223">
        <v>2303.98</v>
      </c>
      <c r="R223">
        <v>26495.78</v>
      </c>
      <c r="S223">
        <v>2119.66</v>
      </c>
      <c r="T223">
        <v>28615.439999999999</v>
      </c>
      <c r="U223" t="s">
        <v>39</v>
      </c>
    </row>
    <row r="224" spans="1:21" x14ac:dyDescent="0.35">
      <c r="A224" t="s">
        <v>338</v>
      </c>
      <c r="B224" s="1">
        <v>44571</v>
      </c>
      <c r="C224">
        <v>2022</v>
      </c>
      <c r="D224" t="s">
        <v>87</v>
      </c>
      <c r="E224" t="s">
        <v>88</v>
      </c>
      <c r="F224" t="s">
        <v>24</v>
      </c>
      <c r="G224" t="s">
        <v>89</v>
      </c>
      <c r="H224" t="s">
        <v>125</v>
      </c>
      <c r="I224" t="s">
        <v>126</v>
      </c>
      <c r="J224" t="s">
        <v>28</v>
      </c>
      <c r="K224" t="s">
        <v>68</v>
      </c>
      <c r="L224" t="s">
        <v>38</v>
      </c>
      <c r="M224">
        <v>12</v>
      </c>
      <c r="N224">
        <v>79.989999999999995</v>
      </c>
      <c r="O224">
        <v>959.88</v>
      </c>
      <c r="P224">
        <v>0.13</v>
      </c>
      <c r="Q224">
        <v>124.78</v>
      </c>
      <c r="R224">
        <v>835.1</v>
      </c>
      <c r="S224">
        <v>66.81</v>
      </c>
      <c r="T224">
        <v>0</v>
      </c>
      <c r="U224" t="s">
        <v>31</v>
      </c>
    </row>
    <row r="225" spans="1:21" x14ac:dyDescent="0.35">
      <c r="A225" t="s">
        <v>339</v>
      </c>
      <c r="B225" s="1">
        <v>44572</v>
      </c>
      <c r="C225">
        <v>2022</v>
      </c>
      <c r="D225" t="s">
        <v>122</v>
      </c>
      <c r="E225" t="s">
        <v>123</v>
      </c>
      <c r="F225" t="s">
        <v>64</v>
      </c>
      <c r="G225" t="s">
        <v>124</v>
      </c>
      <c r="H225" t="s">
        <v>45</v>
      </c>
      <c r="I225" t="s">
        <v>46</v>
      </c>
      <c r="J225" t="s">
        <v>47</v>
      </c>
      <c r="K225" t="s">
        <v>60</v>
      </c>
      <c r="L225" t="s">
        <v>49</v>
      </c>
      <c r="M225">
        <v>13</v>
      </c>
      <c r="N225">
        <v>89.99</v>
      </c>
      <c r="O225">
        <v>1169.8699999999999</v>
      </c>
      <c r="P225">
        <v>0.05</v>
      </c>
      <c r="Q225">
        <v>58.49</v>
      </c>
      <c r="R225">
        <v>1111.3800000000001</v>
      </c>
      <c r="S225">
        <v>88.91</v>
      </c>
      <c r="T225">
        <v>1200.29</v>
      </c>
      <c r="U225" t="s">
        <v>39</v>
      </c>
    </row>
    <row r="226" spans="1:21" x14ac:dyDescent="0.35">
      <c r="A226" t="s">
        <v>340</v>
      </c>
      <c r="B226" s="1">
        <v>44573</v>
      </c>
      <c r="C226">
        <v>2022</v>
      </c>
      <c r="D226" t="s">
        <v>87</v>
      </c>
      <c r="E226" t="s">
        <v>88</v>
      </c>
      <c r="F226" t="s">
        <v>24</v>
      </c>
      <c r="G226" t="s">
        <v>89</v>
      </c>
      <c r="H226" t="s">
        <v>128</v>
      </c>
      <c r="I226" t="s">
        <v>129</v>
      </c>
      <c r="J226" t="s">
        <v>47</v>
      </c>
      <c r="K226" t="s">
        <v>60</v>
      </c>
      <c r="L226" t="s">
        <v>38</v>
      </c>
      <c r="M226">
        <v>16</v>
      </c>
      <c r="N226">
        <v>399.99</v>
      </c>
      <c r="O226">
        <v>6399.84</v>
      </c>
      <c r="P226">
        <v>0.13</v>
      </c>
      <c r="Q226">
        <v>831.98</v>
      </c>
      <c r="R226">
        <v>5567.86</v>
      </c>
      <c r="S226">
        <v>445.43</v>
      </c>
      <c r="T226">
        <v>6013.29</v>
      </c>
      <c r="U226" t="s">
        <v>39</v>
      </c>
    </row>
    <row r="227" spans="1:21" x14ac:dyDescent="0.35">
      <c r="A227" t="s">
        <v>341</v>
      </c>
      <c r="B227" s="1">
        <v>44575</v>
      </c>
      <c r="C227">
        <v>2022</v>
      </c>
      <c r="D227" t="s">
        <v>87</v>
      </c>
      <c r="E227" t="s">
        <v>88</v>
      </c>
      <c r="F227" t="s">
        <v>24</v>
      </c>
      <c r="G227" t="s">
        <v>89</v>
      </c>
      <c r="H227" t="s">
        <v>208</v>
      </c>
      <c r="I227" t="s">
        <v>209</v>
      </c>
      <c r="J227" t="s">
        <v>47</v>
      </c>
      <c r="K227" t="s">
        <v>37</v>
      </c>
      <c r="L227" t="s">
        <v>73</v>
      </c>
      <c r="M227">
        <v>22</v>
      </c>
      <c r="N227">
        <v>49.99</v>
      </c>
      <c r="O227">
        <v>1099.78</v>
      </c>
      <c r="P227">
        <v>0.08</v>
      </c>
      <c r="Q227">
        <v>87.98</v>
      </c>
      <c r="R227">
        <v>1011.8</v>
      </c>
      <c r="S227">
        <v>80.94</v>
      </c>
      <c r="T227">
        <v>1092.74</v>
      </c>
      <c r="U227" t="s">
        <v>39</v>
      </c>
    </row>
    <row r="228" spans="1:21" x14ac:dyDescent="0.35">
      <c r="A228" t="s">
        <v>342</v>
      </c>
      <c r="B228" s="1">
        <v>44576</v>
      </c>
      <c r="C228">
        <v>2022</v>
      </c>
      <c r="D228" t="s">
        <v>81</v>
      </c>
      <c r="E228" t="s">
        <v>82</v>
      </c>
      <c r="F228" t="s">
        <v>35</v>
      </c>
      <c r="G228" t="s">
        <v>83</v>
      </c>
      <c r="H228" t="s">
        <v>45</v>
      </c>
      <c r="I228" t="s">
        <v>46</v>
      </c>
      <c r="J228" t="s">
        <v>47</v>
      </c>
      <c r="K228" t="s">
        <v>48</v>
      </c>
      <c r="L228" t="s">
        <v>49</v>
      </c>
      <c r="M228">
        <v>2</v>
      </c>
      <c r="N228">
        <v>89.99</v>
      </c>
      <c r="O228">
        <v>179.98</v>
      </c>
      <c r="P228">
        <v>0</v>
      </c>
      <c r="Q228">
        <v>0</v>
      </c>
      <c r="R228">
        <v>179.98</v>
      </c>
      <c r="S228">
        <v>14.4</v>
      </c>
      <c r="T228">
        <v>0</v>
      </c>
      <c r="U228" t="s">
        <v>31</v>
      </c>
    </row>
    <row r="229" spans="1:21" x14ac:dyDescent="0.35">
      <c r="A229" t="s">
        <v>343</v>
      </c>
      <c r="B229" s="1">
        <v>44577</v>
      </c>
      <c r="C229">
        <v>2022</v>
      </c>
      <c r="D229" t="s">
        <v>81</v>
      </c>
      <c r="E229" t="s">
        <v>82</v>
      </c>
      <c r="F229" t="s">
        <v>35</v>
      </c>
      <c r="G229" t="s">
        <v>83</v>
      </c>
      <c r="H229" t="s">
        <v>71</v>
      </c>
      <c r="I229" t="s">
        <v>72</v>
      </c>
      <c r="J229" t="s">
        <v>47</v>
      </c>
      <c r="K229" t="s">
        <v>48</v>
      </c>
      <c r="L229" t="s">
        <v>49</v>
      </c>
      <c r="M229">
        <v>21</v>
      </c>
      <c r="N229">
        <v>1199.99</v>
      </c>
      <c r="O229">
        <v>25199.79</v>
      </c>
      <c r="P229">
        <v>0.08</v>
      </c>
      <c r="Q229">
        <v>2015.98</v>
      </c>
      <c r="R229">
        <v>23183.81</v>
      </c>
      <c r="S229">
        <v>1854.7</v>
      </c>
      <c r="T229">
        <v>25038.51</v>
      </c>
      <c r="U229" t="s">
        <v>39</v>
      </c>
    </row>
    <row r="230" spans="1:21" x14ac:dyDescent="0.35">
      <c r="A230" t="s">
        <v>344</v>
      </c>
      <c r="B230" s="1">
        <v>44578</v>
      </c>
      <c r="C230">
        <v>2022</v>
      </c>
      <c r="D230" t="s">
        <v>62</v>
      </c>
      <c r="E230" t="s">
        <v>63</v>
      </c>
      <c r="F230" t="s">
        <v>64</v>
      </c>
      <c r="G230" t="s">
        <v>65</v>
      </c>
      <c r="H230" t="s">
        <v>66</v>
      </c>
      <c r="I230" t="s">
        <v>67</v>
      </c>
      <c r="J230" t="s">
        <v>56</v>
      </c>
      <c r="K230" t="s">
        <v>37</v>
      </c>
      <c r="L230" t="s">
        <v>49</v>
      </c>
      <c r="M230">
        <v>19</v>
      </c>
      <c r="N230">
        <v>229.99</v>
      </c>
      <c r="O230">
        <v>4369.8100000000004</v>
      </c>
      <c r="P230">
        <v>0.05</v>
      </c>
      <c r="Q230">
        <v>218.49</v>
      </c>
      <c r="R230">
        <v>4151.32</v>
      </c>
      <c r="S230">
        <v>332.11</v>
      </c>
      <c r="T230">
        <v>4483.43</v>
      </c>
      <c r="U230" t="s">
        <v>39</v>
      </c>
    </row>
    <row r="231" spans="1:21" x14ac:dyDescent="0.35">
      <c r="A231" t="s">
        <v>345</v>
      </c>
      <c r="B231" s="1">
        <v>44581</v>
      </c>
      <c r="C231">
        <v>2022</v>
      </c>
      <c r="D231" t="s">
        <v>97</v>
      </c>
      <c r="E231" t="s">
        <v>98</v>
      </c>
      <c r="F231" t="s">
        <v>35</v>
      </c>
      <c r="G231" t="s">
        <v>99</v>
      </c>
      <c r="H231" t="s">
        <v>71</v>
      </c>
      <c r="I231" t="s">
        <v>72</v>
      </c>
      <c r="J231" t="s">
        <v>47</v>
      </c>
      <c r="K231" t="s">
        <v>68</v>
      </c>
      <c r="L231" t="s">
        <v>49</v>
      </c>
      <c r="M231">
        <v>5</v>
      </c>
      <c r="N231">
        <v>1199.99</v>
      </c>
      <c r="O231">
        <v>5999.95</v>
      </c>
      <c r="P231">
        <v>0</v>
      </c>
      <c r="Q231">
        <v>0</v>
      </c>
      <c r="R231">
        <v>5999.95</v>
      </c>
      <c r="S231">
        <v>480</v>
      </c>
      <c r="T231">
        <v>6479.95</v>
      </c>
      <c r="U231" t="s">
        <v>39</v>
      </c>
    </row>
    <row r="232" spans="1:21" x14ac:dyDescent="0.35">
      <c r="A232" t="s">
        <v>346</v>
      </c>
      <c r="B232" s="1">
        <v>44583</v>
      </c>
      <c r="C232">
        <v>2022</v>
      </c>
      <c r="D232" t="s">
        <v>87</v>
      </c>
      <c r="E232" t="s">
        <v>88</v>
      </c>
      <c r="F232" t="s">
        <v>24</v>
      </c>
      <c r="G232" t="s">
        <v>89</v>
      </c>
      <c r="H232" t="s">
        <v>94</v>
      </c>
      <c r="I232" t="s">
        <v>95</v>
      </c>
      <c r="J232" t="s">
        <v>56</v>
      </c>
      <c r="K232" t="s">
        <v>48</v>
      </c>
      <c r="L232" t="s">
        <v>49</v>
      </c>
      <c r="M232">
        <v>13</v>
      </c>
      <c r="N232">
        <v>349.99</v>
      </c>
      <c r="O232">
        <v>4549.87</v>
      </c>
      <c r="P232">
        <v>0.05</v>
      </c>
      <c r="Q232">
        <v>227.49</v>
      </c>
      <c r="R232">
        <v>4322.38</v>
      </c>
      <c r="S232">
        <v>345.79</v>
      </c>
      <c r="T232">
        <v>4668.17</v>
      </c>
      <c r="U232" t="s">
        <v>39</v>
      </c>
    </row>
    <row r="233" spans="1:21" x14ac:dyDescent="0.35">
      <c r="A233" t="s">
        <v>347</v>
      </c>
      <c r="B233" s="1">
        <v>44583</v>
      </c>
      <c r="C233">
        <v>2022</v>
      </c>
      <c r="D233" t="s">
        <v>51</v>
      </c>
      <c r="E233" t="s">
        <v>52</v>
      </c>
      <c r="F233" t="s">
        <v>24</v>
      </c>
      <c r="G233" t="s">
        <v>53</v>
      </c>
      <c r="H233" t="s">
        <v>71</v>
      </c>
      <c r="I233" t="s">
        <v>72</v>
      </c>
      <c r="J233" t="s">
        <v>47</v>
      </c>
      <c r="K233" t="s">
        <v>29</v>
      </c>
      <c r="L233" t="s">
        <v>69</v>
      </c>
      <c r="M233">
        <v>29</v>
      </c>
      <c r="N233">
        <v>1199.99</v>
      </c>
      <c r="O233">
        <v>34799.71</v>
      </c>
      <c r="P233">
        <v>0.08</v>
      </c>
      <c r="Q233">
        <v>2783.98</v>
      </c>
      <c r="R233">
        <v>32015.73</v>
      </c>
      <c r="S233">
        <v>2561.2600000000002</v>
      </c>
      <c r="T233">
        <v>34576.99</v>
      </c>
      <c r="U233" t="s">
        <v>39</v>
      </c>
    </row>
    <row r="234" spans="1:21" x14ac:dyDescent="0.35">
      <c r="A234" t="s">
        <v>348</v>
      </c>
      <c r="B234" s="1">
        <v>44583</v>
      </c>
      <c r="C234">
        <v>2022</v>
      </c>
      <c r="D234" t="s">
        <v>122</v>
      </c>
      <c r="E234" t="s">
        <v>123</v>
      </c>
      <c r="F234" t="s">
        <v>64</v>
      </c>
      <c r="G234" t="s">
        <v>124</v>
      </c>
      <c r="H234" t="s">
        <v>54</v>
      </c>
      <c r="I234" t="s">
        <v>55</v>
      </c>
      <c r="J234" t="s">
        <v>56</v>
      </c>
      <c r="K234" t="s">
        <v>60</v>
      </c>
      <c r="L234" t="s">
        <v>49</v>
      </c>
      <c r="M234">
        <v>10</v>
      </c>
      <c r="N234">
        <v>39.99</v>
      </c>
      <c r="O234">
        <v>399.9</v>
      </c>
      <c r="P234">
        <v>0.05</v>
      </c>
      <c r="Q234">
        <v>20</v>
      </c>
      <c r="R234">
        <v>379.9</v>
      </c>
      <c r="S234">
        <v>30.39</v>
      </c>
      <c r="T234">
        <v>410.29</v>
      </c>
      <c r="U234" t="s">
        <v>39</v>
      </c>
    </row>
    <row r="235" spans="1:21" x14ac:dyDescent="0.35">
      <c r="A235" t="s">
        <v>349</v>
      </c>
      <c r="B235" s="1">
        <v>44584</v>
      </c>
      <c r="C235">
        <v>2022</v>
      </c>
      <c r="D235" t="s">
        <v>75</v>
      </c>
      <c r="E235" t="s">
        <v>76</v>
      </c>
      <c r="F235" t="s">
        <v>64</v>
      </c>
      <c r="G235" t="s">
        <v>77</v>
      </c>
      <c r="H235" t="s">
        <v>208</v>
      </c>
      <c r="I235" t="s">
        <v>209</v>
      </c>
      <c r="J235" t="s">
        <v>47</v>
      </c>
      <c r="K235" t="s">
        <v>48</v>
      </c>
      <c r="L235" t="s">
        <v>73</v>
      </c>
      <c r="M235">
        <v>15</v>
      </c>
      <c r="N235">
        <v>49.99</v>
      </c>
      <c r="O235">
        <v>749.85</v>
      </c>
      <c r="P235">
        <v>0.05</v>
      </c>
      <c r="Q235">
        <v>37.49</v>
      </c>
      <c r="R235">
        <v>712.36</v>
      </c>
      <c r="S235">
        <v>56.99</v>
      </c>
      <c r="T235">
        <v>769.35</v>
      </c>
      <c r="U235" t="s">
        <v>111</v>
      </c>
    </row>
    <row r="236" spans="1:21" x14ac:dyDescent="0.35">
      <c r="A236" t="s">
        <v>350</v>
      </c>
      <c r="B236" s="1">
        <v>44585</v>
      </c>
      <c r="C236">
        <v>2022</v>
      </c>
      <c r="D236" t="s">
        <v>75</v>
      </c>
      <c r="E236" t="s">
        <v>76</v>
      </c>
      <c r="F236" t="s">
        <v>64</v>
      </c>
      <c r="G236" t="s">
        <v>77</v>
      </c>
      <c r="H236" t="s">
        <v>145</v>
      </c>
      <c r="I236" t="s">
        <v>146</v>
      </c>
      <c r="J236" t="s">
        <v>47</v>
      </c>
      <c r="K236" t="s">
        <v>37</v>
      </c>
      <c r="L236" t="s">
        <v>49</v>
      </c>
      <c r="M236">
        <v>12</v>
      </c>
      <c r="N236">
        <v>129.99</v>
      </c>
      <c r="O236">
        <v>1559.88</v>
      </c>
      <c r="P236">
        <v>0.05</v>
      </c>
      <c r="Q236">
        <v>77.989999999999995</v>
      </c>
      <c r="R236">
        <v>1481.89</v>
      </c>
      <c r="S236">
        <v>118.55</v>
      </c>
      <c r="T236">
        <v>1600.44</v>
      </c>
      <c r="U236" t="s">
        <v>39</v>
      </c>
    </row>
    <row r="237" spans="1:21" x14ac:dyDescent="0.35">
      <c r="A237" t="s">
        <v>351</v>
      </c>
      <c r="B237" s="1">
        <v>44585</v>
      </c>
      <c r="C237">
        <v>2022</v>
      </c>
      <c r="D237" t="s">
        <v>186</v>
      </c>
      <c r="E237" t="s">
        <v>187</v>
      </c>
      <c r="F237" t="s">
        <v>43</v>
      </c>
      <c r="G237" t="s">
        <v>188</v>
      </c>
      <c r="H237" t="s">
        <v>94</v>
      </c>
      <c r="I237" t="s">
        <v>95</v>
      </c>
      <c r="J237" t="s">
        <v>56</v>
      </c>
      <c r="K237" t="s">
        <v>48</v>
      </c>
      <c r="L237" t="s">
        <v>38</v>
      </c>
      <c r="M237">
        <v>2</v>
      </c>
      <c r="N237">
        <v>349.99</v>
      </c>
      <c r="O237">
        <v>699.98</v>
      </c>
      <c r="P237">
        <v>0.08</v>
      </c>
      <c r="Q237">
        <v>56</v>
      </c>
      <c r="R237">
        <v>643.98</v>
      </c>
      <c r="S237">
        <v>51.52</v>
      </c>
      <c r="T237">
        <v>0</v>
      </c>
      <c r="U237" t="s">
        <v>31</v>
      </c>
    </row>
    <row r="238" spans="1:21" x14ac:dyDescent="0.35">
      <c r="A238" t="s">
        <v>352</v>
      </c>
      <c r="B238" s="1">
        <v>44586</v>
      </c>
      <c r="C238">
        <v>2022</v>
      </c>
      <c r="D238" t="s">
        <v>51</v>
      </c>
      <c r="E238" t="s">
        <v>52</v>
      </c>
      <c r="F238" t="s">
        <v>24</v>
      </c>
      <c r="G238" t="s">
        <v>53</v>
      </c>
      <c r="H238" t="s">
        <v>128</v>
      </c>
      <c r="I238" t="s">
        <v>129</v>
      </c>
      <c r="J238" t="s">
        <v>47</v>
      </c>
      <c r="K238" t="s">
        <v>68</v>
      </c>
      <c r="L238" t="s">
        <v>73</v>
      </c>
      <c r="M238">
        <v>12</v>
      </c>
      <c r="N238">
        <v>399.99</v>
      </c>
      <c r="O238">
        <v>4799.88</v>
      </c>
      <c r="P238">
        <v>0.05</v>
      </c>
      <c r="Q238">
        <v>239.99</v>
      </c>
      <c r="R238">
        <v>4559.8900000000003</v>
      </c>
      <c r="S238">
        <v>364.79</v>
      </c>
      <c r="T238">
        <v>4924.68</v>
      </c>
      <c r="U238" t="s">
        <v>39</v>
      </c>
    </row>
    <row r="239" spans="1:21" x14ac:dyDescent="0.35">
      <c r="A239" t="s">
        <v>353</v>
      </c>
      <c r="B239" s="1">
        <v>44590</v>
      </c>
      <c r="C239">
        <v>2022</v>
      </c>
      <c r="D239" t="s">
        <v>186</v>
      </c>
      <c r="E239" t="s">
        <v>187</v>
      </c>
      <c r="F239" t="s">
        <v>43</v>
      </c>
      <c r="G239" t="s">
        <v>188</v>
      </c>
      <c r="H239" t="s">
        <v>84</v>
      </c>
      <c r="I239" t="s">
        <v>85</v>
      </c>
      <c r="J239" t="s">
        <v>47</v>
      </c>
      <c r="K239" t="s">
        <v>29</v>
      </c>
      <c r="L239" t="s">
        <v>73</v>
      </c>
      <c r="M239">
        <v>17</v>
      </c>
      <c r="N239">
        <v>249.99</v>
      </c>
      <c r="O239">
        <v>4249.83</v>
      </c>
      <c r="P239">
        <v>0.05</v>
      </c>
      <c r="Q239">
        <v>212.49</v>
      </c>
      <c r="R239">
        <v>4037.34</v>
      </c>
      <c r="S239">
        <v>322.99</v>
      </c>
      <c r="T239">
        <v>4360.33</v>
      </c>
      <c r="U239" t="s">
        <v>39</v>
      </c>
    </row>
    <row r="240" spans="1:21" x14ac:dyDescent="0.35">
      <c r="A240" t="s">
        <v>354</v>
      </c>
      <c r="B240" s="1">
        <v>44593</v>
      </c>
      <c r="C240">
        <v>2022</v>
      </c>
      <c r="D240" t="s">
        <v>22</v>
      </c>
      <c r="E240" t="s">
        <v>23</v>
      </c>
      <c r="F240" t="s">
        <v>24</v>
      </c>
      <c r="G240" t="s">
        <v>25</v>
      </c>
      <c r="H240" t="s">
        <v>54</v>
      </c>
      <c r="I240" t="s">
        <v>55</v>
      </c>
      <c r="J240" t="s">
        <v>56</v>
      </c>
      <c r="K240" t="s">
        <v>48</v>
      </c>
      <c r="L240" t="s">
        <v>38</v>
      </c>
      <c r="M240">
        <v>24</v>
      </c>
      <c r="N240">
        <v>39.99</v>
      </c>
      <c r="O240">
        <v>959.76</v>
      </c>
      <c r="P240">
        <v>0.16</v>
      </c>
      <c r="Q240">
        <v>153.56</v>
      </c>
      <c r="R240">
        <v>806.2</v>
      </c>
      <c r="S240">
        <v>64.5</v>
      </c>
      <c r="T240">
        <v>870.7</v>
      </c>
      <c r="U240" t="s">
        <v>111</v>
      </c>
    </row>
    <row r="241" spans="1:21" x14ac:dyDescent="0.35">
      <c r="A241" t="s">
        <v>355</v>
      </c>
      <c r="B241" s="1">
        <v>44599</v>
      </c>
      <c r="C241">
        <v>2022</v>
      </c>
      <c r="D241" t="s">
        <v>186</v>
      </c>
      <c r="E241" t="s">
        <v>187</v>
      </c>
      <c r="F241" t="s">
        <v>43</v>
      </c>
      <c r="G241" t="s">
        <v>188</v>
      </c>
      <c r="H241" t="s">
        <v>104</v>
      </c>
      <c r="I241" t="s">
        <v>105</v>
      </c>
      <c r="J241" t="s">
        <v>47</v>
      </c>
      <c r="K241" t="s">
        <v>68</v>
      </c>
      <c r="L241" t="s">
        <v>73</v>
      </c>
      <c r="M241">
        <v>21</v>
      </c>
      <c r="N241">
        <v>479.99</v>
      </c>
      <c r="O241">
        <v>10079.790000000001</v>
      </c>
      <c r="P241">
        <v>0.08</v>
      </c>
      <c r="Q241">
        <v>806.38</v>
      </c>
      <c r="R241">
        <v>9273.41</v>
      </c>
      <c r="S241">
        <v>741.87</v>
      </c>
      <c r="T241">
        <v>10015.280000000001</v>
      </c>
      <c r="U241" t="s">
        <v>39</v>
      </c>
    </row>
    <row r="242" spans="1:21" x14ac:dyDescent="0.35">
      <c r="A242" t="s">
        <v>356</v>
      </c>
      <c r="B242" s="1">
        <v>44601</v>
      </c>
      <c r="C242">
        <v>2022</v>
      </c>
      <c r="D242" t="s">
        <v>75</v>
      </c>
      <c r="E242" t="s">
        <v>76</v>
      </c>
      <c r="F242" t="s">
        <v>64</v>
      </c>
      <c r="G242" t="s">
        <v>77</v>
      </c>
      <c r="H242" t="s">
        <v>45</v>
      </c>
      <c r="I242" t="s">
        <v>46</v>
      </c>
      <c r="J242" t="s">
        <v>47</v>
      </c>
      <c r="K242" t="s">
        <v>60</v>
      </c>
      <c r="L242" t="s">
        <v>49</v>
      </c>
      <c r="M242">
        <v>15</v>
      </c>
      <c r="N242">
        <v>89.99</v>
      </c>
      <c r="O242">
        <v>1349.85</v>
      </c>
      <c r="P242">
        <v>0.05</v>
      </c>
      <c r="Q242">
        <v>67.489999999999995</v>
      </c>
      <c r="R242">
        <v>1282.3599999999999</v>
      </c>
      <c r="S242">
        <v>102.59</v>
      </c>
      <c r="T242">
        <v>1384.95</v>
      </c>
      <c r="U242" t="s">
        <v>39</v>
      </c>
    </row>
    <row r="243" spans="1:21" x14ac:dyDescent="0.35">
      <c r="A243" t="s">
        <v>357</v>
      </c>
      <c r="B243" s="1">
        <v>44603</v>
      </c>
      <c r="C243">
        <v>2022</v>
      </c>
      <c r="D243" t="s">
        <v>51</v>
      </c>
      <c r="E243" t="s">
        <v>52</v>
      </c>
      <c r="F243" t="s">
        <v>24</v>
      </c>
      <c r="G243" t="s">
        <v>53</v>
      </c>
      <c r="H243" t="s">
        <v>145</v>
      </c>
      <c r="I243" t="s">
        <v>146</v>
      </c>
      <c r="J243" t="s">
        <v>47</v>
      </c>
      <c r="K243" t="s">
        <v>37</v>
      </c>
      <c r="L243" t="s">
        <v>30</v>
      </c>
      <c r="M243">
        <v>11</v>
      </c>
      <c r="N243">
        <v>129.99</v>
      </c>
      <c r="O243">
        <v>1429.89</v>
      </c>
      <c r="P243">
        <v>0.05</v>
      </c>
      <c r="Q243">
        <v>71.489999999999995</v>
      </c>
      <c r="R243">
        <v>1358.4</v>
      </c>
      <c r="S243">
        <v>108.67</v>
      </c>
      <c r="T243">
        <v>1467.07</v>
      </c>
      <c r="U243" t="s">
        <v>39</v>
      </c>
    </row>
    <row r="244" spans="1:21" x14ac:dyDescent="0.35">
      <c r="A244" t="s">
        <v>358</v>
      </c>
      <c r="B244" s="1">
        <v>44604</v>
      </c>
      <c r="C244">
        <v>2022</v>
      </c>
      <c r="D244" t="s">
        <v>81</v>
      </c>
      <c r="E244" t="s">
        <v>82</v>
      </c>
      <c r="F244" t="s">
        <v>35</v>
      </c>
      <c r="G244" t="s">
        <v>83</v>
      </c>
      <c r="H244" t="s">
        <v>128</v>
      </c>
      <c r="I244" t="s">
        <v>129</v>
      </c>
      <c r="J244" t="s">
        <v>47</v>
      </c>
      <c r="K244" t="s">
        <v>60</v>
      </c>
      <c r="L244" t="s">
        <v>49</v>
      </c>
      <c r="M244">
        <v>9</v>
      </c>
      <c r="N244">
        <v>399.99</v>
      </c>
      <c r="O244">
        <v>3599.91</v>
      </c>
      <c r="P244">
        <v>0</v>
      </c>
      <c r="Q244">
        <v>0</v>
      </c>
      <c r="R244">
        <v>3599.91</v>
      </c>
      <c r="S244">
        <v>287.99</v>
      </c>
      <c r="T244">
        <v>0</v>
      </c>
      <c r="U244" t="s">
        <v>31</v>
      </c>
    </row>
    <row r="245" spans="1:21" x14ac:dyDescent="0.35">
      <c r="A245" t="s">
        <v>359</v>
      </c>
      <c r="B245" s="1">
        <v>44606</v>
      </c>
      <c r="C245">
        <v>2022</v>
      </c>
      <c r="D245" t="s">
        <v>97</v>
      </c>
      <c r="E245" t="s">
        <v>98</v>
      </c>
      <c r="F245" t="s">
        <v>35</v>
      </c>
      <c r="G245" t="s">
        <v>99</v>
      </c>
      <c r="H245" t="s">
        <v>45</v>
      </c>
      <c r="I245" t="s">
        <v>46</v>
      </c>
      <c r="J245" t="s">
        <v>47</v>
      </c>
      <c r="K245" t="s">
        <v>60</v>
      </c>
      <c r="L245" t="s">
        <v>30</v>
      </c>
      <c r="M245">
        <v>20</v>
      </c>
      <c r="N245">
        <v>89.99</v>
      </c>
      <c r="O245">
        <v>1799.8</v>
      </c>
      <c r="P245">
        <v>0.08</v>
      </c>
      <c r="Q245">
        <v>143.97999999999999</v>
      </c>
      <c r="R245">
        <v>1655.82</v>
      </c>
      <c r="S245">
        <v>132.47</v>
      </c>
      <c r="T245">
        <v>1788.29</v>
      </c>
      <c r="U245" t="s">
        <v>39</v>
      </c>
    </row>
    <row r="246" spans="1:21" x14ac:dyDescent="0.35">
      <c r="A246" t="s">
        <v>360</v>
      </c>
      <c r="B246" s="1">
        <v>44610</v>
      </c>
      <c r="C246">
        <v>2022</v>
      </c>
      <c r="D246" t="s">
        <v>97</v>
      </c>
      <c r="E246" t="s">
        <v>98</v>
      </c>
      <c r="F246" t="s">
        <v>35</v>
      </c>
      <c r="G246" t="s">
        <v>99</v>
      </c>
      <c r="H246" t="s">
        <v>145</v>
      </c>
      <c r="I246" t="s">
        <v>146</v>
      </c>
      <c r="J246" t="s">
        <v>47</v>
      </c>
      <c r="K246" t="s">
        <v>60</v>
      </c>
      <c r="L246" t="s">
        <v>38</v>
      </c>
      <c r="M246">
        <v>24</v>
      </c>
      <c r="N246">
        <v>129.99</v>
      </c>
      <c r="O246">
        <v>3119.76</v>
      </c>
      <c r="P246">
        <v>0.16</v>
      </c>
      <c r="Q246">
        <v>499.16</v>
      </c>
      <c r="R246">
        <v>2620.6</v>
      </c>
      <c r="S246">
        <v>209.65</v>
      </c>
      <c r="T246">
        <v>2830.25</v>
      </c>
      <c r="U246" t="s">
        <v>39</v>
      </c>
    </row>
    <row r="247" spans="1:21" x14ac:dyDescent="0.35">
      <c r="A247" t="s">
        <v>361</v>
      </c>
      <c r="B247" s="1">
        <v>44611</v>
      </c>
      <c r="C247">
        <v>2022</v>
      </c>
      <c r="D247" t="s">
        <v>148</v>
      </c>
      <c r="E247" t="s">
        <v>149</v>
      </c>
      <c r="F247" t="s">
        <v>43</v>
      </c>
      <c r="G247" t="s">
        <v>150</v>
      </c>
      <c r="H247" t="s">
        <v>58</v>
      </c>
      <c r="I247" t="s">
        <v>59</v>
      </c>
      <c r="J247" t="s">
        <v>56</v>
      </c>
      <c r="K247" t="s">
        <v>48</v>
      </c>
      <c r="L247" t="s">
        <v>30</v>
      </c>
      <c r="M247">
        <v>5</v>
      </c>
      <c r="N247">
        <v>599.99</v>
      </c>
      <c r="O247">
        <v>2999.95</v>
      </c>
      <c r="P247">
        <v>0</v>
      </c>
      <c r="Q247">
        <v>0</v>
      </c>
      <c r="R247">
        <v>2999.95</v>
      </c>
      <c r="S247">
        <v>240</v>
      </c>
      <c r="T247">
        <v>3239.95</v>
      </c>
      <c r="U247" t="s">
        <v>39</v>
      </c>
    </row>
    <row r="248" spans="1:21" x14ac:dyDescent="0.35">
      <c r="A248" t="s">
        <v>362</v>
      </c>
      <c r="B248" s="1">
        <v>44613</v>
      </c>
      <c r="C248">
        <v>2022</v>
      </c>
      <c r="D248" t="s">
        <v>142</v>
      </c>
      <c r="E248" t="s">
        <v>143</v>
      </c>
      <c r="F248" t="s">
        <v>43</v>
      </c>
      <c r="G248" t="s">
        <v>144</v>
      </c>
      <c r="H248" t="s">
        <v>94</v>
      </c>
      <c r="I248" t="s">
        <v>95</v>
      </c>
      <c r="J248" t="s">
        <v>56</v>
      </c>
      <c r="K248" t="s">
        <v>29</v>
      </c>
      <c r="L248" t="s">
        <v>73</v>
      </c>
      <c r="M248">
        <v>10</v>
      </c>
      <c r="N248">
        <v>349.99</v>
      </c>
      <c r="O248">
        <v>3499.9</v>
      </c>
      <c r="P248">
        <v>0.05</v>
      </c>
      <c r="Q248">
        <v>175</v>
      </c>
      <c r="R248">
        <v>3324.9</v>
      </c>
      <c r="S248">
        <v>265.99</v>
      </c>
      <c r="T248">
        <v>3590.89</v>
      </c>
      <c r="U248" t="s">
        <v>39</v>
      </c>
    </row>
    <row r="249" spans="1:21" x14ac:dyDescent="0.35">
      <c r="A249" t="s">
        <v>363</v>
      </c>
      <c r="B249" s="1">
        <v>44613</v>
      </c>
      <c r="C249">
        <v>2022</v>
      </c>
      <c r="D249" t="s">
        <v>33</v>
      </c>
      <c r="E249" t="s">
        <v>34</v>
      </c>
      <c r="F249" t="s">
        <v>35</v>
      </c>
      <c r="G249" t="s">
        <v>36</v>
      </c>
      <c r="H249" t="s">
        <v>71</v>
      </c>
      <c r="I249" t="s">
        <v>72</v>
      </c>
      <c r="J249" t="s">
        <v>47</v>
      </c>
      <c r="K249" t="s">
        <v>60</v>
      </c>
      <c r="L249" t="s">
        <v>49</v>
      </c>
      <c r="M249">
        <v>16</v>
      </c>
      <c r="N249">
        <v>1199.99</v>
      </c>
      <c r="O249">
        <v>19199.84</v>
      </c>
      <c r="P249">
        <v>0.05</v>
      </c>
      <c r="Q249">
        <v>959.99</v>
      </c>
      <c r="R249">
        <v>18239.849999999999</v>
      </c>
      <c r="S249">
        <v>1459.19</v>
      </c>
      <c r="T249">
        <v>19699.04</v>
      </c>
      <c r="U249" t="s">
        <v>111</v>
      </c>
    </row>
    <row r="250" spans="1:21" x14ac:dyDescent="0.35">
      <c r="A250" t="s">
        <v>364</v>
      </c>
      <c r="B250" s="1">
        <v>44616</v>
      </c>
      <c r="C250">
        <v>2022</v>
      </c>
      <c r="D250" t="s">
        <v>91</v>
      </c>
      <c r="E250" t="s">
        <v>92</v>
      </c>
      <c r="F250" t="s">
        <v>24</v>
      </c>
      <c r="G250" t="s">
        <v>93</v>
      </c>
      <c r="H250" t="s">
        <v>125</v>
      </c>
      <c r="I250" t="s">
        <v>126</v>
      </c>
      <c r="J250" t="s">
        <v>28</v>
      </c>
      <c r="K250" t="s">
        <v>68</v>
      </c>
      <c r="L250" t="s">
        <v>49</v>
      </c>
      <c r="M250">
        <v>20</v>
      </c>
      <c r="N250">
        <v>79.989999999999995</v>
      </c>
      <c r="O250">
        <v>1599.8</v>
      </c>
      <c r="P250">
        <v>0.08</v>
      </c>
      <c r="Q250">
        <v>127.98</v>
      </c>
      <c r="R250">
        <v>1471.82</v>
      </c>
      <c r="S250">
        <v>117.75</v>
      </c>
      <c r="T250">
        <v>0</v>
      </c>
      <c r="U250" t="s">
        <v>31</v>
      </c>
    </row>
    <row r="251" spans="1:21" x14ac:dyDescent="0.35">
      <c r="A251" t="s">
        <v>365</v>
      </c>
      <c r="B251" s="1">
        <v>44617</v>
      </c>
      <c r="C251">
        <v>2022</v>
      </c>
      <c r="D251" t="s">
        <v>41</v>
      </c>
      <c r="E251" t="s">
        <v>42</v>
      </c>
      <c r="F251" t="s">
        <v>43</v>
      </c>
      <c r="G251" t="s">
        <v>44</v>
      </c>
      <c r="H251" t="s">
        <v>84</v>
      </c>
      <c r="I251" t="s">
        <v>85</v>
      </c>
      <c r="J251" t="s">
        <v>47</v>
      </c>
      <c r="K251" t="s">
        <v>37</v>
      </c>
      <c r="L251" t="s">
        <v>30</v>
      </c>
      <c r="M251">
        <v>28</v>
      </c>
      <c r="N251">
        <v>249.99</v>
      </c>
      <c r="O251">
        <v>6999.72</v>
      </c>
      <c r="P251">
        <v>0.08</v>
      </c>
      <c r="Q251">
        <v>559.98</v>
      </c>
      <c r="R251">
        <v>6439.74</v>
      </c>
      <c r="S251">
        <v>515.17999999999995</v>
      </c>
      <c r="T251">
        <v>6954.92</v>
      </c>
      <c r="U251" t="s">
        <v>39</v>
      </c>
    </row>
    <row r="252" spans="1:21" x14ac:dyDescent="0.35">
      <c r="A252" t="s">
        <v>366</v>
      </c>
      <c r="B252" s="1">
        <v>44620</v>
      </c>
      <c r="C252">
        <v>2022</v>
      </c>
      <c r="D252" t="s">
        <v>148</v>
      </c>
      <c r="E252" t="s">
        <v>149</v>
      </c>
      <c r="F252" t="s">
        <v>43</v>
      </c>
      <c r="G252" t="s">
        <v>150</v>
      </c>
      <c r="H252" t="s">
        <v>94</v>
      </c>
      <c r="I252" t="s">
        <v>95</v>
      </c>
      <c r="J252" t="s">
        <v>56</v>
      </c>
      <c r="K252" t="s">
        <v>68</v>
      </c>
      <c r="L252" t="s">
        <v>49</v>
      </c>
      <c r="M252">
        <v>12</v>
      </c>
      <c r="N252">
        <v>349.99</v>
      </c>
      <c r="O252">
        <v>4199.88</v>
      </c>
      <c r="P252">
        <v>0.05</v>
      </c>
      <c r="Q252">
        <v>209.99</v>
      </c>
      <c r="R252">
        <v>3989.89</v>
      </c>
      <c r="S252">
        <v>319.19</v>
      </c>
      <c r="T252">
        <v>0</v>
      </c>
      <c r="U252" t="s">
        <v>31</v>
      </c>
    </row>
    <row r="253" spans="1:21" x14ac:dyDescent="0.35">
      <c r="A253" t="s">
        <v>367</v>
      </c>
      <c r="B253" s="1">
        <v>44620</v>
      </c>
      <c r="C253">
        <v>2022</v>
      </c>
      <c r="D253" t="s">
        <v>22</v>
      </c>
      <c r="E253" t="s">
        <v>23</v>
      </c>
      <c r="F253" t="s">
        <v>24</v>
      </c>
      <c r="G253" t="s">
        <v>25</v>
      </c>
      <c r="H253" t="s">
        <v>26</v>
      </c>
      <c r="I253" t="s">
        <v>27</v>
      </c>
      <c r="J253" t="s">
        <v>28</v>
      </c>
      <c r="K253" t="s">
        <v>29</v>
      </c>
      <c r="L253" t="s">
        <v>69</v>
      </c>
      <c r="M253">
        <v>21</v>
      </c>
      <c r="N253">
        <v>8.99</v>
      </c>
      <c r="O253">
        <v>188.79</v>
      </c>
      <c r="P253">
        <v>0.08</v>
      </c>
      <c r="Q253">
        <v>15.1</v>
      </c>
      <c r="R253">
        <v>173.69</v>
      </c>
      <c r="S253">
        <v>13.9</v>
      </c>
      <c r="T253">
        <v>0</v>
      </c>
      <c r="U253" t="s">
        <v>31</v>
      </c>
    </row>
    <row r="254" spans="1:21" x14ac:dyDescent="0.35">
      <c r="A254" t="s">
        <v>368</v>
      </c>
      <c r="B254" s="1">
        <v>44624</v>
      </c>
      <c r="C254">
        <v>2022</v>
      </c>
      <c r="D254" t="s">
        <v>87</v>
      </c>
      <c r="E254" t="s">
        <v>88</v>
      </c>
      <c r="F254" t="s">
        <v>24</v>
      </c>
      <c r="G254" t="s">
        <v>89</v>
      </c>
      <c r="H254" t="s">
        <v>54</v>
      </c>
      <c r="I254" t="s">
        <v>55</v>
      </c>
      <c r="J254" t="s">
        <v>56</v>
      </c>
      <c r="K254" t="s">
        <v>68</v>
      </c>
      <c r="L254" t="s">
        <v>49</v>
      </c>
      <c r="M254">
        <v>15</v>
      </c>
      <c r="N254">
        <v>39.99</v>
      </c>
      <c r="O254">
        <v>599.85</v>
      </c>
      <c r="P254">
        <v>0.05</v>
      </c>
      <c r="Q254">
        <v>29.99</v>
      </c>
      <c r="R254">
        <v>569.86</v>
      </c>
      <c r="S254">
        <v>45.59</v>
      </c>
      <c r="T254">
        <v>615.45000000000005</v>
      </c>
      <c r="U254" t="s">
        <v>39</v>
      </c>
    </row>
    <row r="255" spans="1:21" x14ac:dyDescent="0.35">
      <c r="A255" t="s">
        <v>369</v>
      </c>
      <c r="B255" s="1">
        <v>44632</v>
      </c>
      <c r="C255">
        <v>2022</v>
      </c>
      <c r="D255" t="s">
        <v>91</v>
      </c>
      <c r="E255" t="s">
        <v>92</v>
      </c>
      <c r="F255" t="s">
        <v>24</v>
      </c>
      <c r="G255" t="s">
        <v>93</v>
      </c>
      <c r="H255" t="s">
        <v>45</v>
      </c>
      <c r="I255" t="s">
        <v>46</v>
      </c>
      <c r="J255" t="s">
        <v>47</v>
      </c>
      <c r="K255" t="s">
        <v>68</v>
      </c>
      <c r="L255" t="s">
        <v>73</v>
      </c>
      <c r="M255">
        <v>7</v>
      </c>
      <c r="N255">
        <v>89.99</v>
      </c>
      <c r="O255">
        <v>629.92999999999995</v>
      </c>
      <c r="P255">
        <v>0</v>
      </c>
      <c r="Q255">
        <v>0</v>
      </c>
      <c r="R255">
        <v>629.92999999999995</v>
      </c>
      <c r="S255">
        <v>50.39</v>
      </c>
      <c r="T255">
        <v>680.32</v>
      </c>
      <c r="U255" t="s">
        <v>39</v>
      </c>
    </row>
    <row r="256" spans="1:21" x14ac:dyDescent="0.35">
      <c r="A256" t="s">
        <v>370</v>
      </c>
      <c r="B256" s="1">
        <v>44635</v>
      </c>
      <c r="C256">
        <v>2022</v>
      </c>
      <c r="D256" t="s">
        <v>51</v>
      </c>
      <c r="E256" t="s">
        <v>52</v>
      </c>
      <c r="F256" t="s">
        <v>24</v>
      </c>
      <c r="G256" t="s">
        <v>53</v>
      </c>
      <c r="H256" t="s">
        <v>66</v>
      </c>
      <c r="I256" t="s">
        <v>67</v>
      </c>
      <c r="J256" t="s">
        <v>56</v>
      </c>
      <c r="K256" t="s">
        <v>37</v>
      </c>
      <c r="L256" t="s">
        <v>49</v>
      </c>
      <c r="M256">
        <v>6</v>
      </c>
      <c r="N256">
        <v>229.99</v>
      </c>
      <c r="O256">
        <v>1379.94</v>
      </c>
      <c r="P256">
        <v>0</v>
      </c>
      <c r="Q256">
        <v>0</v>
      </c>
      <c r="R256">
        <v>1379.94</v>
      </c>
      <c r="S256">
        <v>110.4</v>
      </c>
      <c r="T256">
        <v>1490.34</v>
      </c>
      <c r="U256" t="s">
        <v>39</v>
      </c>
    </row>
    <row r="257" spans="1:21" x14ac:dyDescent="0.35">
      <c r="A257" t="s">
        <v>371</v>
      </c>
      <c r="B257" s="1">
        <v>44635</v>
      </c>
      <c r="C257">
        <v>2022</v>
      </c>
      <c r="D257" t="s">
        <v>87</v>
      </c>
      <c r="E257" t="s">
        <v>88</v>
      </c>
      <c r="F257" t="s">
        <v>24</v>
      </c>
      <c r="G257" t="s">
        <v>89</v>
      </c>
      <c r="H257" t="s">
        <v>45</v>
      </c>
      <c r="I257" t="s">
        <v>46</v>
      </c>
      <c r="J257" t="s">
        <v>47</v>
      </c>
      <c r="K257" t="s">
        <v>68</v>
      </c>
      <c r="L257" t="s">
        <v>30</v>
      </c>
      <c r="M257">
        <v>8</v>
      </c>
      <c r="N257">
        <v>89.99</v>
      </c>
      <c r="O257">
        <v>719.92</v>
      </c>
      <c r="P257">
        <v>0</v>
      </c>
      <c r="Q257">
        <v>0</v>
      </c>
      <c r="R257">
        <v>719.92</v>
      </c>
      <c r="S257">
        <v>57.59</v>
      </c>
      <c r="T257">
        <v>0</v>
      </c>
      <c r="U257" t="s">
        <v>31</v>
      </c>
    </row>
    <row r="258" spans="1:21" x14ac:dyDescent="0.35">
      <c r="A258" t="s">
        <v>372</v>
      </c>
      <c r="B258" s="1">
        <v>44635</v>
      </c>
      <c r="C258">
        <v>2022</v>
      </c>
      <c r="D258" t="s">
        <v>97</v>
      </c>
      <c r="E258" t="s">
        <v>98</v>
      </c>
      <c r="F258" t="s">
        <v>35</v>
      </c>
      <c r="G258" t="s">
        <v>99</v>
      </c>
      <c r="H258" t="s">
        <v>145</v>
      </c>
      <c r="I258" t="s">
        <v>146</v>
      </c>
      <c r="J258" t="s">
        <v>47</v>
      </c>
      <c r="K258" t="s">
        <v>37</v>
      </c>
      <c r="L258" t="s">
        <v>30</v>
      </c>
      <c r="M258">
        <v>25</v>
      </c>
      <c r="N258">
        <v>129.99</v>
      </c>
      <c r="O258">
        <v>3249.75</v>
      </c>
      <c r="P258">
        <v>0.08</v>
      </c>
      <c r="Q258">
        <v>259.98</v>
      </c>
      <c r="R258">
        <v>2989.77</v>
      </c>
      <c r="S258">
        <v>239.18</v>
      </c>
      <c r="T258">
        <v>3228.95</v>
      </c>
      <c r="U258" t="s">
        <v>39</v>
      </c>
    </row>
    <row r="259" spans="1:21" x14ac:dyDescent="0.35">
      <c r="A259" t="s">
        <v>373</v>
      </c>
      <c r="B259" s="1">
        <v>44636</v>
      </c>
      <c r="C259">
        <v>2022</v>
      </c>
      <c r="D259" t="s">
        <v>107</v>
      </c>
      <c r="E259" t="s">
        <v>108</v>
      </c>
      <c r="F259" t="s">
        <v>35</v>
      </c>
      <c r="G259" t="s">
        <v>109</v>
      </c>
      <c r="H259" t="s">
        <v>66</v>
      </c>
      <c r="I259" t="s">
        <v>67</v>
      </c>
      <c r="J259" t="s">
        <v>56</v>
      </c>
      <c r="K259" t="s">
        <v>48</v>
      </c>
      <c r="L259" t="s">
        <v>69</v>
      </c>
      <c r="M259">
        <v>28</v>
      </c>
      <c r="N259">
        <v>229.99</v>
      </c>
      <c r="O259">
        <v>6439.72</v>
      </c>
      <c r="P259">
        <v>0.08</v>
      </c>
      <c r="Q259">
        <v>515.17999999999995</v>
      </c>
      <c r="R259">
        <v>5924.54</v>
      </c>
      <c r="S259">
        <v>473.96</v>
      </c>
      <c r="T259">
        <v>6398.5</v>
      </c>
      <c r="U259" t="s">
        <v>39</v>
      </c>
    </row>
    <row r="260" spans="1:21" x14ac:dyDescent="0.35">
      <c r="A260" t="s">
        <v>374</v>
      </c>
      <c r="B260" s="1">
        <v>44637</v>
      </c>
      <c r="C260">
        <v>2022</v>
      </c>
      <c r="D260" t="s">
        <v>186</v>
      </c>
      <c r="E260" t="s">
        <v>187</v>
      </c>
      <c r="F260" t="s">
        <v>43</v>
      </c>
      <c r="G260" t="s">
        <v>188</v>
      </c>
      <c r="H260" t="s">
        <v>94</v>
      </c>
      <c r="I260" t="s">
        <v>95</v>
      </c>
      <c r="J260" t="s">
        <v>56</v>
      </c>
      <c r="K260" t="s">
        <v>29</v>
      </c>
      <c r="L260" t="s">
        <v>73</v>
      </c>
      <c r="M260">
        <v>25</v>
      </c>
      <c r="N260">
        <v>349.99</v>
      </c>
      <c r="O260">
        <v>8749.75</v>
      </c>
      <c r="P260">
        <v>0.08</v>
      </c>
      <c r="Q260">
        <v>699.98</v>
      </c>
      <c r="R260">
        <v>8049.77</v>
      </c>
      <c r="S260">
        <v>643.98</v>
      </c>
      <c r="T260">
        <v>8693.75</v>
      </c>
      <c r="U260" t="s">
        <v>39</v>
      </c>
    </row>
    <row r="261" spans="1:21" x14ac:dyDescent="0.35">
      <c r="A261" t="s">
        <v>375</v>
      </c>
      <c r="B261" s="1">
        <v>44638</v>
      </c>
      <c r="C261">
        <v>2022</v>
      </c>
      <c r="D261" t="s">
        <v>91</v>
      </c>
      <c r="E261" t="s">
        <v>92</v>
      </c>
      <c r="F261" t="s">
        <v>24</v>
      </c>
      <c r="G261" t="s">
        <v>93</v>
      </c>
      <c r="H261" t="s">
        <v>45</v>
      </c>
      <c r="I261" t="s">
        <v>46</v>
      </c>
      <c r="J261" t="s">
        <v>47</v>
      </c>
      <c r="K261" t="s">
        <v>68</v>
      </c>
      <c r="L261" t="s">
        <v>69</v>
      </c>
      <c r="M261">
        <v>7</v>
      </c>
      <c r="N261">
        <v>89.99</v>
      </c>
      <c r="O261">
        <v>629.92999999999995</v>
      </c>
      <c r="P261">
        <v>0</v>
      </c>
      <c r="Q261">
        <v>0</v>
      </c>
      <c r="R261">
        <v>629.92999999999995</v>
      </c>
      <c r="S261">
        <v>50.39</v>
      </c>
      <c r="T261">
        <v>680.32</v>
      </c>
      <c r="U261" t="s">
        <v>39</v>
      </c>
    </row>
    <row r="262" spans="1:21" x14ac:dyDescent="0.35">
      <c r="A262" t="s">
        <v>376</v>
      </c>
      <c r="B262" s="1">
        <v>44638</v>
      </c>
      <c r="C262">
        <v>2022</v>
      </c>
      <c r="D262" t="s">
        <v>75</v>
      </c>
      <c r="E262" t="s">
        <v>76</v>
      </c>
      <c r="F262" t="s">
        <v>64</v>
      </c>
      <c r="G262" t="s">
        <v>77</v>
      </c>
      <c r="H262" t="s">
        <v>71</v>
      </c>
      <c r="I262" t="s">
        <v>72</v>
      </c>
      <c r="J262" t="s">
        <v>47</v>
      </c>
      <c r="K262" t="s">
        <v>37</v>
      </c>
      <c r="L262" t="s">
        <v>38</v>
      </c>
      <c r="M262">
        <v>15</v>
      </c>
      <c r="N262">
        <v>1199.99</v>
      </c>
      <c r="O262">
        <v>17999.849999999999</v>
      </c>
      <c r="P262">
        <v>0.13</v>
      </c>
      <c r="Q262">
        <v>2339.98</v>
      </c>
      <c r="R262">
        <v>15659.87</v>
      </c>
      <c r="S262">
        <v>1252.79</v>
      </c>
      <c r="T262">
        <v>0</v>
      </c>
      <c r="U262" t="s">
        <v>31</v>
      </c>
    </row>
    <row r="263" spans="1:21" x14ac:dyDescent="0.35">
      <c r="A263" t="s">
        <v>377</v>
      </c>
      <c r="B263" s="1">
        <v>44639</v>
      </c>
      <c r="C263">
        <v>2022</v>
      </c>
      <c r="D263" t="s">
        <v>62</v>
      </c>
      <c r="E263" t="s">
        <v>63</v>
      </c>
      <c r="F263" t="s">
        <v>64</v>
      </c>
      <c r="G263" t="s">
        <v>65</v>
      </c>
      <c r="H263" t="s">
        <v>84</v>
      </c>
      <c r="I263" t="s">
        <v>85</v>
      </c>
      <c r="J263" t="s">
        <v>47</v>
      </c>
      <c r="K263" t="s">
        <v>48</v>
      </c>
      <c r="L263" t="s">
        <v>49</v>
      </c>
      <c r="M263">
        <v>11</v>
      </c>
      <c r="N263">
        <v>249.99</v>
      </c>
      <c r="O263">
        <v>2749.89</v>
      </c>
      <c r="P263">
        <v>0.05</v>
      </c>
      <c r="Q263">
        <v>137.49</v>
      </c>
      <c r="R263">
        <v>2612.4</v>
      </c>
      <c r="S263">
        <v>208.99</v>
      </c>
      <c r="T263">
        <v>2821.39</v>
      </c>
      <c r="U263" t="s">
        <v>111</v>
      </c>
    </row>
    <row r="264" spans="1:21" x14ac:dyDescent="0.35">
      <c r="A264" t="s">
        <v>378</v>
      </c>
      <c r="B264" s="1">
        <v>44639</v>
      </c>
      <c r="C264">
        <v>2022</v>
      </c>
      <c r="D264" t="s">
        <v>142</v>
      </c>
      <c r="E264" t="s">
        <v>143</v>
      </c>
      <c r="F264" t="s">
        <v>43</v>
      </c>
      <c r="G264" t="s">
        <v>144</v>
      </c>
      <c r="H264" t="s">
        <v>84</v>
      </c>
      <c r="I264" t="s">
        <v>85</v>
      </c>
      <c r="J264" t="s">
        <v>47</v>
      </c>
      <c r="K264" t="s">
        <v>37</v>
      </c>
      <c r="L264" t="s">
        <v>30</v>
      </c>
      <c r="M264">
        <v>17</v>
      </c>
      <c r="N264">
        <v>249.99</v>
      </c>
      <c r="O264">
        <v>4249.83</v>
      </c>
      <c r="P264">
        <v>0.05</v>
      </c>
      <c r="Q264">
        <v>212.49</v>
      </c>
      <c r="R264">
        <v>4037.34</v>
      </c>
      <c r="S264">
        <v>322.99</v>
      </c>
      <c r="T264">
        <v>4360.33</v>
      </c>
      <c r="U264" t="s">
        <v>39</v>
      </c>
    </row>
    <row r="265" spans="1:21" x14ac:dyDescent="0.35">
      <c r="A265" t="s">
        <v>379</v>
      </c>
      <c r="B265" s="1">
        <v>44640</v>
      </c>
      <c r="C265">
        <v>2022</v>
      </c>
      <c r="D265" t="s">
        <v>22</v>
      </c>
      <c r="E265" t="s">
        <v>23</v>
      </c>
      <c r="F265" t="s">
        <v>24</v>
      </c>
      <c r="G265" t="s">
        <v>25</v>
      </c>
      <c r="H265" t="s">
        <v>125</v>
      </c>
      <c r="I265" t="s">
        <v>126</v>
      </c>
      <c r="J265" t="s">
        <v>28</v>
      </c>
      <c r="K265" t="s">
        <v>48</v>
      </c>
      <c r="L265" t="s">
        <v>73</v>
      </c>
      <c r="M265">
        <v>13</v>
      </c>
      <c r="N265">
        <v>79.989999999999995</v>
      </c>
      <c r="O265">
        <v>1039.8699999999999</v>
      </c>
      <c r="P265">
        <v>0.05</v>
      </c>
      <c r="Q265">
        <v>51.99</v>
      </c>
      <c r="R265">
        <v>987.88</v>
      </c>
      <c r="S265">
        <v>79.03</v>
      </c>
      <c r="T265">
        <v>0</v>
      </c>
      <c r="U265" t="s">
        <v>31</v>
      </c>
    </row>
    <row r="266" spans="1:21" x14ac:dyDescent="0.35">
      <c r="A266" t="s">
        <v>380</v>
      </c>
      <c r="B266" s="1">
        <v>44642</v>
      </c>
      <c r="C266">
        <v>2022</v>
      </c>
      <c r="D266" t="s">
        <v>22</v>
      </c>
      <c r="E266" t="s">
        <v>23</v>
      </c>
      <c r="F266" t="s">
        <v>24</v>
      </c>
      <c r="G266" t="s">
        <v>25</v>
      </c>
      <c r="H266" t="s">
        <v>84</v>
      </c>
      <c r="I266" t="s">
        <v>85</v>
      </c>
      <c r="J266" t="s">
        <v>47</v>
      </c>
      <c r="K266" t="s">
        <v>29</v>
      </c>
      <c r="L266" t="s">
        <v>69</v>
      </c>
      <c r="M266">
        <v>30</v>
      </c>
      <c r="N266">
        <v>249.99</v>
      </c>
      <c r="O266">
        <v>7499.7</v>
      </c>
      <c r="P266">
        <v>0.08</v>
      </c>
      <c r="Q266">
        <v>599.98</v>
      </c>
      <c r="R266">
        <v>6899.72</v>
      </c>
      <c r="S266">
        <v>551.98</v>
      </c>
      <c r="T266">
        <v>0</v>
      </c>
      <c r="U266" t="s">
        <v>31</v>
      </c>
    </row>
    <row r="267" spans="1:21" x14ac:dyDescent="0.35">
      <c r="A267" t="s">
        <v>381</v>
      </c>
      <c r="B267" s="1">
        <v>44643</v>
      </c>
      <c r="C267">
        <v>2022</v>
      </c>
      <c r="D267" t="s">
        <v>148</v>
      </c>
      <c r="E267" t="s">
        <v>149</v>
      </c>
      <c r="F267" t="s">
        <v>43</v>
      </c>
      <c r="G267" t="s">
        <v>150</v>
      </c>
      <c r="H267" t="s">
        <v>145</v>
      </c>
      <c r="I267" t="s">
        <v>146</v>
      </c>
      <c r="J267" t="s">
        <v>47</v>
      </c>
      <c r="K267" t="s">
        <v>48</v>
      </c>
      <c r="L267" t="s">
        <v>38</v>
      </c>
      <c r="M267">
        <v>28</v>
      </c>
      <c r="N267">
        <v>129.99</v>
      </c>
      <c r="O267">
        <v>3639.72</v>
      </c>
      <c r="P267">
        <v>0.16</v>
      </c>
      <c r="Q267">
        <v>582.36</v>
      </c>
      <c r="R267">
        <v>3057.36</v>
      </c>
      <c r="S267">
        <v>244.59</v>
      </c>
      <c r="T267">
        <v>3301.95</v>
      </c>
      <c r="U267" t="s">
        <v>39</v>
      </c>
    </row>
    <row r="268" spans="1:21" x14ac:dyDescent="0.35">
      <c r="A268" t="s">
        <v>382</v>
      </c>
      <c r="B268" s="1">
        <v>44643</v>
      </c>
      <c r="C268">
        <v>2022</v>
      </c>
      <c r="D268" t="s">
        <v>97</v>
      </c>
      <c r="E268" t="s">
        <v>98</v>
      </c>
      <c r="F268" t="s">
        <v>35</v>
      </c>
      <c r="G268" t="s">
        <v>99</v>
      </c>
      <c r="H268" t="s">
        <v>104</v>
      </c>
      <c r="I268" t="s">
        <v>105</v>
      </c>
      <c r="J268" t="s">
        <v>47</v>
      </c>
      <c r="K268" t="s">
        <v>48</v>
      </c>
      <c r="L268" t="s">
        <v>49</v>
      </c>
      <c r="M268">
        <v>25</v>
      </c>
      <c r="N268">
        <v>479.99</v>
      </c>
      <c r="O268">
        <v>11999.75</v>
      </c>
      <c r="P268">
        <v>0.08</v>
      </c>
      <c r="Q268">
        <v>959.98</v>
      </c>
      <c r="R268">
        <v>11039.77</v>
      </c>
      <c r="S268">
        <v>883.18</v>
      </c>
      <c r="T268">
        <v>11922.95</v>
      </c>
      <c r="U268" t="s">
        <v>39</v>
      </c>
    </row>
    <row r="269" spans="1:21" x14ac:dyDescent="0.35">
      <c r="A269" t="s">
        <v>383</v>
      </c>
      <c r="B269" s="1">
        <v>44644</v>
      </c>
      <c r="C269">
        <v>2022</v>
      </c>
      <c r="D269" t="s">
        <v>33</v>
      </c>
      <c r="E269" t="s">
        <v>34</v>
      </c>
      <c r="F269" t="s">
        <v>35</v>
      </c>
      <c r="G269" t="s">
        <v>36</v>
      </c>
      <c r="H269" t="s">
        <v>104</v>
      </c>
      <c r="I269" t="s">
        <v>105</v>
      </c>
      <c r="J269" t="s">
        <v>47</v>
      </c>
      <c r="K269" t="s">
        <v>48</v>
      </c>
      <c r="L269" t="s">
        <v>73</v>
      </c>
      <c r="M269">
        <v>6</v>
      </c>
      <c r="N269">
        <v>479.99</v>
      </c>
      <c r="O269">
        <v>2879.94</v>
      </c>
      <c r="P269">
        <v>0</v>
      </c>
      <c r="Q269">
        <v>0</v>
      </c>
      <c r="R269">
        <v>2879.94</v>
      </c>
      <c r="S269">
        <v>230.4</v>
      </c>
      <c r="T269">
        <v>3110.34</v>
      </c>
      <c r="U269" t="s">
        <v>39</v>
      </c>
    </row>
    <row r="270" spans="1:21" x14ac:dyDescent="0.35">
      <c r="A270" t="s">
        <v>384</v>
      </c>
      <c r="B270" s="1">
        <v>44647</v>
      </c>
      <c r="C270">
        <v>2022</v>
      </c>
      <c r="D270" t="s">
        <v>51</v>
      </c>
      <c r="E270" t="s">
        <v>52</v>
      </c>
      <c r="F270" t="s">
        <v>24</v>
      </c>
      <c r="G270" t="s">
        <v>53</v>
      </c>
      <c r="H270" t="s">
        <v>58</v>
      </c>
      <c r="I270" t="s">
        <v>59</v>
      </c>
      <c r="J270" t="s">
        <v>56</v>
      </c>
      <c r="K270" t="s">
        <v>60</v>
      </c>
      <c r="L270" t="s">
        <v>30</v>
      </c>
      <c r="M270">
        <v>14</v>
      </c>
      <c r="N270">
        <v>599.99</v>
      </c>
      <c r="O270">
        <v>8399.86</v>
      </c>
      <c r="P270">
        <v>0.05</v>
      </c>
      <c r="Q270">
        <v>419.99</v>
      </c>
      <c r="R270">
        <v>7979.87</v>
      </c>
      <c r="S270">
        <v>638.39</v>
      </c>
      <c r="T270">
        <v>8618.26</v>
      </c>
      <c r="U270" t="s">
        <v>111</v>
      </c>
    </row>
    <row r="271" spans="1:21" x14ac:dyDescent="0.35">
      <c r="A271" t="s">
        <v>385</v>
      </c>
      <c r="B271" s="1">
        <v>44652</v>
      </c>
      <c r="C271">
        <v>2022</v>
      </c>
      <c r="D271" t="s">
        <v>81</v>
      </c>
      <c r="E271" t="s">
        <v>82</v>
      </c>
      <c r="F271" t="s">
        <v>35</v>
      </c>
      <c r="G271" t="s">
        <v>83</v>
      </c>
      <c r="H271" t="s">
        <v>54</v>
      </c>
      <c r="I271" t="s">
        <v>55</v>
      </c>
      <c r="J271" t="s">
        <v>56</v>
      </c>
      <c r="K271" t="s">
        <v>68</v>
      </c>
      <c r="L271" t="s">
        <v>73</v>
      </c>
      <c r="M271">
        <v>29</v>
      </c>
      <c r="N271">
        <v>39.99</v>
      </c>
      <c r="O271">
        <v>1159.71</v>
      </c>
      <c r="P271">
        <v>0.08</v>
      </c>
      <c r="Q271">
        <v>92.78</v>
      </c>
      <c r="R271">
        <v>1066.93</v>
      </c>
      <c r="S271">
        <v>85.35</v>
      </c>
      <c r="T271">
        <v>1152.28</v>
      </c>
      <c r="U271" t="s">
        <v>39</v>
      </c>
    </row>
    <row r="272" spans="1:21" x14ac:dyDescent="0.35">
      <c r="A272" t="s">
        <v>386</v>
      </c>
      <c r="B272" s="1">
        <v>44654</v>
      </c>
      <c r="C272">
        <v>2022</v>
      </c>
      <c r="D272" t="s">
        <v>122</v>
      </c>
      <c r="E272" t="s">
        <v>123</v>
      </c>
      <c r="F272" t="s">
        <v>64</v>
      </c>
      <c r="G272" t="s">
        <v>124</v>
      </c>
      <c r="H272" t="s">
        <v>78</v>
      </c>
      <c r="I272" t="s">
        <v>79</v>
      </c>
      <c r="J272" t="s">
        <v>28</v>
      </c>
      <c r="K272" t="s">
        <v>68</v>
      </c>
      <c r="L272" t="s">
        <v>38</v>
      </c>
      <c r="M272">
        <v>27</v>
      </c>
      <c r="N272">
        <v>5.99</v>
      </c>
      <c r="O272">
        <v>161.72999999999999</v>
      </c>
      <c r="P272">
        <v>0.16</v>
      </c>
      <c r="Q272">
        <v>25.88</v>
      </c>
      <c r="R272">
        <v>135.85</v>
      </c>
      <c r="S272">
        <v>10.87</v>
      </c>
      <c r="T272">
        <v>0</v>
      </c>
      <c r="U272" t="s">
        <v>31</v>
      </c>
    </row>
    <row r="273" spans="1:21" x14ac:dyDescent="0.35">
      <c r="A273" t="s">
        <v>387</v>
      </c>
      <c r="B273" s="1">
        <v>44657</v>
      </c>
      <c r="C273">
        <v>2022</v>
      </c>
      <c r="D273" t="s">
        <v>107</v>
      </c>
      <c r="E273" t="s">
        <v>108</v>
      </c>
      <c r="F273" t="s">
        <v>35</v>
      </c>
      <c r="G273" t="s">
        <v>109</v>
      </c>
      <c r="H273" t="s">
        <v>145</v>
      </c>
      <c r="I273" t="s">
        <v>146</v>
      </c>
      <c r="J273" t="s">
        <v>47</v>
      </c>
      <c r="K273" t="s">
        <v>60</v>
      </c>
      <c r="L273" t="s">
        <v>38</v>
      </c>
      <c r="M273">
        <v>11</v>
      </c>
      <c r="N273">
        <v>129.99</v>
      </c>
      <c r="O273">
        <v>1429.89</v>
      </c>
      <c r="P273">
        <v>0.13</v>
      </c>
      <c r="Q273">
        <v>185.89</v>
      </c>
      <c r="R273">
        <v>1244</v>
      </c>
      <c r="S273">
        <v>99.52</v>
      </c>
      <c r="T273">
        <v>1343.52</v>
      </c>
      <c r="U273" t="s">
        <v>39</v>
      </c>
    </row>
    <row r="274" spans="1:21" x14ac:dyDescent="0.35">
      <c r="A274" t="s">
        <v>388</v>
      </c>
      <c r="B274" s="1">
        <v>44660</v>
      </c>
      <c r="C274">
        <v>2022</v>
      </c>
      <c r="D274" t="s">
        <v>87</v>
      </c>
      <c r="E274" t="s">
        <v>88</v>
      </c>
      <c r="F274" t="s">
        <v>24</v>
      </c>
      <c r="G274" t="s">
        <v>89</v>
      </c>
      <c r="H274" t="s">
        <v>26</v>
      </c>
      <c r="I274" t="s">
        <v>27</v>
      </c>
      <c r="J274" t="s">
        <v>28</v>
      </c>
      <c r="K274" t="s">
        <v>37</v>
      </c>
      <c r="L274" t="s">
        <v>49</v>
      </c>
      <c r="M274">
        <v>16</v>
      </c>
      <c r="N274">
        <v>8.99</v>
      </c>
      <c r="O274">
        <v>143.84</v>
      </c>
      <c r="P274">
        <v>0.05</v>
      </c>
      <c r="Q274">
        <v>7.19</v>
      </c>
      <c r="R274">
        <v>136.65</v>
      </c>
      <c r="S274">
        <v>10.93</v>
      </c>
      <c r="T274">
        <v>0</v>
      </c>
      <c r="U274" t="s">
        <v>31</v>
      </c>
    </row>
    <row r="275" spans="1:21" x14ac:dyDescent="0.35">
      <c r="A275" t="s">
        <v>389</v>
      </c>
      <c r="B275" s="1">
        <v>44660</v>
      </c>
      <c r="C275">
        <v>2022</v>
      </c>
      <c r="D275" t="s">
        <v>107</v>
      </c>
      <c r="E275" t="s">
        <v>108</v>
      </c>
      <c r="F275" t="s">
        <v>35</v>
      </c>
      <c r="G275" t="s">
        <v>109</v>
      </c>
      <c r="H275" t="s">
        <v>128</v>
      </c>
      <c r="I275" t="s">
        <v>129</v>
      </c>
      <c r="J275" t="s">
        <v>47</v>
      </c>
      <c r="K275" t="s">
        <v>29</v>
      </c>
      <c r="L275" t="s">
        <v>30</v>
      </c>
      <c r="M275">
        <v>9</v>
      </c>
      <c r="N275">
        <v>399.99</v>
      </c>
      <c r="O275">
        <v>3599.91</v>
      </c>
      <c r="P275">
        <v>0</v>
      </c>
      <c r="Q275">
        <v>0</v>
      </c>
      <c r="R275">
        <v>3599.91</v>
      </c>
      <c r="S275">
        <v>287.99</v>
      </c>
      <c r="T275">
        <v>3887.9</v>
      </c>
      <c r="U275" t="s">
        <v>39</v>
      </c>
    </row>
    <row r="276" spans="1:21" x14ac:dyDescent="0.35">
      <c r="A276" t="s">
        <v>390</v>
      </c>
      <c r="B276" s="1">
        <v>44661</v>
      </c>
      <c r="C276">
        <v>2022</v>
      </c>
      <c r="D276" t="s">
        <v>87</v>
      </c>
      <c r="E276" t="s">
        <v>88</v>
      </c>
      <c r="F276" t="s">
        <v>24</v>
      </c>
      <c r="G276" t="s">
        <v>89</v>
      </c>
      <c r="H276" t="s">
        <v>94</v>
      </c>
      <c r="I276" t="s">
        <v>95</v>
      </c>
      <c r="J276" t="s">
        <v>56</v>
      </c>
      <c r="K276" t="s">
        <v>29</v>
      </c>
      <c r="L276" t="s">
        <v>49</v>
      </c>
      <c r="M276">
        <v>29</v>
      </c>
      <c r="N276">
        <v>349.99</v>
      </c>
      <c r="O276">
        <v>10149.709999999999</v>
      </c>
      <c r="P276">
        <v>0.08</v>
      </c>
      <c r="Q276">
        <v>811.98</v>
      </c>
      <c r="R276">
        <v>9337.73</v>
      </c>
      <c r="S276">
        <v>747.02</v>
      </c>
      <c r="T276">
        <v>10084.75</v>
      </c>
      <c r="U276" t="s">
        <v>39</v>
      </c>
    </row>
    <row r="277" spans="1:21" x14ac:dyDescent="0.35">
      <c r="A277" t="s">
        <v>391</v>
      </c>
      <c r="B277" s="1">
        <v>44663</v>
      </c>
      <c r="C277">
        <v>2022</v>
      </c>
      <c r="D277" t="s">
        <v>75</v>
      </c>
      <c r="E277" t="s">
        <v>76</v>
      </c>
      <c r="F277" t="s">
        <v>64</v>
      </c>
      <c r="G277" t="s">
        <v>77</v>
      </c>
      <c r="H277" t="s">
        <v>104</v>
      </c>
      <c r="I277" t="s">
        <v>105</v>
      </c>
      <c r="J277" t="s">
        <v>47</v>
      </c>
      <c r="K277" t="s">
        <v>29</v>
      </c>
      <c r="L277" t="s">
        <v>69</v>
      </c>
      <c r="M277">
        <v>9</v>
      </c>
      <c r="N277">
        <v>479.99</v>
      </c>
      <c r="O277">
        <v>4319.91</v>
      </c>
      <c r="P277">
        <v>0</v>
      </c>
      <c r="Q277">
        <v>0</v>
      </c>
      <c r="R277">
        <v>4319.91</v>
      </c>
      <c r="S277">
        <v>345.59</v>
      </c>
      <c r="T277">
        <v>4665.5</v>
      </c>
      <c r="U277" t="s">
        <v>39</v>
      </c>
    </row>
    <row r="278" spans="1:21" x14ac:dyDescent="0.35">
      <c r="A278" t="s">
        <v>392</v>
      </c>
      <c r="B278" s="1">
        <v>44664</v>
      </c>
      <c r="C278">
        <v>2022</v>
      </c>
      <c r="D278" t="s">
        <v>122</v>
      </c>
      <c r="E278" t="s">
        <v>123</v>
      </c>
      <c r="F278" t="s">
        <v>64</v>
      </c>
      <c r="G278" t="s">
        <v>124</v>
      </c>
      <c r="H278" t="s">
        <v>66</v>
      </c>
      <c r="I278" t="s">
        <v>67</v>
      </c>
      <c r="J278" t="s">
        <v>56</v>
      </c>
      <c r="K278" t="s">
        <v>48</v>
      </c>
      <c r="L278" t="s">
        <v>30</v>
      </c>
      <c r="M278">
        <v>6</v>
      </c>
      <c r="N278">
        <v>229.99</v>
      </c>
      <c r="O278">
        <v>1379.94</v>
      </c>
      <c r="P278">
        <v>0</v>
      </c>
      <c r="Q278">
        <v>0</v>
      </c>
      <c r="R278">
        <v>1379.94</v>
      </c>
      <c r="S278">
        <v>110.4</v>
      </c>
      <c r="T278">
        <v>1490.34</v>
      </c>
      <c r="U278" t="s">
        <v>39</v>
      </c>
    </row>
    <row r="279" spans="1:21" x14ac:dyDescent="0.35">
      <c r="A279" t="s">
        <v>393</v>
      </c>
      <c r="B279" s="1">
        <v>44664</v>
      </c>
      <c r="C279">
        <v>2022</v>
      </c>
      <c r="D279" t="s">
        <v>75</v>
      </c>
      <c r="E279" t="s">
        <v>76</v>
      </c>
      <c r="F279" t="s">
        <v>64</v>
      </c>
      <c r="G279" t="s">
        <v>77</v>
      </c>
      <c r="H279" t="s">
        <v>84</v>
      </c>
      <c r="I279" t="s">
        <v>85</v>
      </c>
      <c r="J279" t="s">
        <v>47</v>
      </c>
      <c r="K279" t="s">
        <v>37</v>
      </c>
      <c r="L279" t="s">
        <v>30</v>
      </c>
      <c r="M279">
        <v>4</v>
      </c>
      <c r="N279">
        <v>249.99</v>
      </c>
      <c r="O279">
        <v>999.96</v>
      </c>
      <c r="P279">
        <v>0</v>
      </c>
      <c r="Q279">
        <v>0</v>
      </c>
      <c r="R279">
        <v>999.96</v>
      </c>
      <c r="S279">
        <v>80</v>
      </c>
      <c r="T279">
        <v>1079.96</v>
      </c>
      <c r="U279" t="s">
        <v>39</v>
      </c>
    </row>
    <row r="280" spans="1:21" x14ac:dyDescent="0.35">
      <c r="A280" t="s">
        <v>394</v>
      </c>
      <c r="B280" s="1">
        <v>44675</v>
      </c>
      <c r="C280">
        <v>2022</v>
      </c>
      <c r="D280" t="s">
        <v>33</v>
      </c>
      <c r="E280" t="s">
        <v>34</v>
      </c>
      <c r="F280" t="s">
        <v>35</v>
      </c>
      <c r="G280" t="s">
        <v>36</v>
      </c>
      <c r="H280" t="s">
        <v>54</v>
      </c>
      <c r="I280" t="s">
        <v>55</v>
      </c>
      <c r="J280" t="s">
        <v>56</v>
      </c>
      <c r="K280" t="s">
        <v>60</v>
      </c>
      <c r="L280" t="s">
        <v>49</v>
      </c>
      <c r="M280">
        <v>11</v>
      </c>
      <c r="N280">
        <v>39.99</v>
      </c>
      <c r="O280">
        <v>439.89</v>
      </c>
      <c r="P280">
        <v>0.05</v>
      </c>
      <c r="Q280">
        <v>21.99</v>
      </c>
      <c r="R280">
        <v>417.9</v>
      </c>
      <c r="S280">
        <v>33.43</v>
      </c>
      <c r="T280">
        <v>451.33</v>
      </c>
      <c r="U280" t="s">
        <v>111</v>
      </c>
    </row>
    <row r="281" spans="1:21" x14ac:dyDescent="0.35">
      <c r="A281" t="s">
        <v>395</v>
      </c>
      <c r="B281" s="1">
        <v>44675</v>
      </c>
      <c r="C281">
        <v>2022</v>
      </c>
      <c r="D281" t="s">
        <v>87</v>
      </c>
      <c r="E281" t="s">
        <v>88</v>
      </c>
      <c r="F281" t="s">
        <v>24</v>
      </c>
      <c r="G281" t="s">
        <v>89</v>
      </c>
      <c r="H281" t="s">
        <v>125</v>
      </c>
      <c r="I281" t="s">
        <v>126</v>
      </c>
      <c r="J281" t="s">
        <v>28</v>
      </c>
      <c r="K281" t="s">
        <v>29</v>
      </c>
      <c r="L281" t="s">
        <v>38</v>
      </c>
      <c r="M281">
        <v>30</v>
      </c>
      <c r="N281">
        <v>79.989999999999995</v>
      </c>
      <c r="O281">
        <v>2399.6999999999998</v>
      </c>
      <c r="P281">
        <v>0.16</v>
      </c>
      <c r="Q281">
        <v>383.95</v>
      </c>
      <c r="R281">
        <v>2015.75</v>
      </c>
      <c r="S281">
        <v>161.26</v>
      </c>
      <c r="T281">
        <v>2177.0100000000002</v>
      </c>
      <c r="U281" t="s">
        <v>39</v>
      </c>
    </row>
    <row r="282" spans="1:21" x14ac:dyDescent="0.35">
      <c r="A282" t="s">
        <v>396</v>
      </c>
      <c r="B282" s="1">
        <v>44676</v>
      </c>
      <c r="C282">
        <v>2022</v>
      </c>
      <c r="D282" t="s">
        <v>97</v>
      </c>
      <c r="E282" t="s">
        <v>98</v>
      </c>
      <c r="F282" t="s">
        <v>35</v>
      </c>
      <c r="G282" t="s">
        <v>99</v>
      </c>
      <c r="H282" t="s">
        <v>54</v>
      </c>
      <c r="I282" t="s">
        <v>55</v>
      </c>
      <c r="J282" t="s">
        <v>56</v>
      </c>
      <c r="K282" t="s">
        <v>29</v>
      </c>
      <c r="L282" t="s">
        <v>38</v>
      </c>
      <c r="M282">
        <v>12</v>
      </c>
      <c r="N282">
        <v>39.99</v>
      </c>
      <c r="O282">
        <v>479.88</v>
      </c>
      <c r="P282">
        <v>0.13</v>
      </c>
      <c r="Q282">
        <v>62.38</v>
      </c>
      <c r="R282">
        <v>417.5</v>
      </c>
      <c r="S282">
        <v>33.4</v>
      </c>
      <c r="T282">
        <v>450.9</v>
      </c>
      <c r="U282" t="s">
        <v>39</v>
      </c>
    </row>
    <row r="283" spans="1:21" x14ac:dyDescent="0.35">
      <c r="A283" t="s">
        <v>397</v>
      </c>
      <c r="B283" s="1">
        <v>44678</v>
      </c>
      <c r="C283">
        <v>2022</v>
      </c>
      <c r="D283" t="s">
        <v>148</v>
      </c>
      <c r="E283" t="s">
        <v>149</v>
      </c>
      <c r="F283" t="s">
        <v>43</v>
      </c>
      <c r="G283" t="s">
        <v>150</v>
      </c>
      <c r="H283" t="s">
        <v>100</v>
      </c>
      <c r="I283" t="s">
        <v>101</v>
      </c>
      <c r="J283" t="s">
        <v>47</v>
      </c>
      <c r="K283" t="s">
        <v>48</v>
      </c>
      <c r="L283" t="s">
        <v>73</v>
      </c>
      <c r="M283">
        <v>15</v>
      </c>
      <c r="N283">
        <v>29.99</v>
      </c>
      <c r="O283">
        <v>449.85</v>
      </c>
      <c r="P283">
        <v>0.05</v>
      </c>
      <c r="Q283">
        <v>22.49</v>
      </c>
      <c r="R283">
        <v>427.36</v>
      </c>
      <c r="S283">
        <v>34.19</v>
      </c>
      <c r="T283">
        <v>461.55</v>
      </c>
      <c r="U283" t="s">
        <v>39</v>
      </c>
    </row>
    <row r="284" spans="1:21" x14ac:dyDescent="0.35">
      <c r="A284" t="s">
        <v>398</v>
      </c>
      <c r="B284" s="1">
        <v>44680</v>
      </c>
      <c r="C284">
        <v>2022</v>
      </c>
      <c r="D284" t="s">
        <v>51</v>
      </c>
      <c r="E284" t="s">
        <v>52</v>
      </c>
      <c r="F284" t="s">
        <v>24</v>
      </c>
      <c r="G284" t="s">
        <v>53</v>
      </c>
      <c r="H284" t="s">
        <v>26</v>
      </c>
      <c r="I284" t="s">
        <v>27</v>
      </c>
      <c r="J284" t="s">
        <v>28</v>
      </c>
      <c r="K284" t="s">
        <v>68</v>
      </c>
      <c r="L284" t="s">
        <v>69</v>
      </c>
      <c r="M284">
        <v>19</v>
      </c>
      <c r="N284">
        <v>8.99</v>
      </c>
      <c r="O284">
        <v>170.81</v>
      </c>
      <c r="P284">
        <v>0.05</v>
      </c>
      <c r="Q284">
        <v>8.5399999999999991</v>
      </c>
      <c r="R284">
        <v>162.27000000000001</v>
      </c>
      <c r="S284">
        <v>12.98</v>
      </c>
      <c r="T284">
        <v>175.25</v>
      </c>
      <c r="U284" t="s">
        <v>111</v>
      </c>
    </row>
    <row r="285" spans="1:21" x14ac:dyDescent="0.35">
      <c r="A285" t="s">
        <v>399</v>
      </c>
      <c r="B285" s="1">
        <v>44681</v>
      </c>
      <c r="C285">
        <v>2022</v>
      </c>
      <c r="D285" t="s">
        <v>142</v>
      </c>
      <c r="E285" t="s">
        <v>143</v>
      </c>
      <c r="F285" t="s">
        <v>43</v>
      </c>
      <c r="G285" t="s">
        <v>144</v>
      </c>
      <c r="H285" t="s">
        <v>94</v>
      </c>
      <c r="I285" t="s">
        <v>95</v>
      </c>
      <c r="J285" t="s">
        <v>56</v>
      </c>
      <c r="K285" t="s">
        <v>68</v>
      </c>
      <c r="L285" t="s">
        <v>30</v>
      </c>
      <c r="M285">
        <v>21</v>
      </c>
      <c r="N285">
        <v>349.99</v>
      </c>
      <c r="O285">
        <v>7349.79</v>
      </c>
      <c r="P285">
        <v>0.08</v>
      </c>
      <c r="Q285">
        <v>587.98</v>
      </c>
      <c r="R285">
        <v>6761.81</v>
      </c>
      <c r="S285">
        <v>540.94000000000005</v>
      </c>
      <c r="T285">
        <v>7302.75</v>
      </c>
      <c r="U285" t="s">
        <v>39</v>
      </c>
    </row>
    <row r="286" spans="1:21" x14ac:dyDescent="0.35">
      <c r="A286" t="s">
        <v>400</v>
      </c>
      <c r="B286" s="1">
        <v>44682</v>
      </c>
      <c r="C286">
        <v>2022</v>
      </c>
      <c r="D286" t="s">
        <v>22</v>
      </c>
      <c r="E286" t="s">
        <v>23</v>
      </c>
      <c r="F286" t="s">
        <v>24</v>
      </c>
      <c r="G286" t="s">
        <v>25</v>
      </c>
      <c r="H286" t="s">
        <v>84</v>
      </c>
      <c r="I286" t="s">
        <v>85</v>
      </c>
      <c r="J286" t="s">
        <v>47</v>
      </c>
      <c r="K286" t="s">
        <v>60</v>
      </c>
      <c r="L286" t="s">
        <v>69</v>
      </c>
      <c r="M286">
        <v>3</v>
      </c>
      <c r="N286">
        <v>249.99</v>
      </c>
      <c r="O286">
        <v>749.97</v>
      </c>
      <c r="P286">
        <v>0</v>
      </c>
      <c r="Q286">
        <v>0</v>
      </c>
      <c r="R286">
        <v>749.97</v>
      </c>
      <c r="S286">
        <v>60</v>
      </c>
      <c r="T286">
        <v>809.97</v>
      </c>
      <c r="U286" t="s">
        <v>39</v>
      </c>
    </row>
    <row r="287" spans="1:21" x14ac:dyDescent="0.35">
      <c r="A287" t="s">
        <v>401</v>
      </c>
      <c r="B287" s="1">
        <v>44689</v>
      </c>
      <c r="C287">
        <v>2022</v>
      </c>
      <c r="D287" t="s">
        <v>33</v>
      </c>
      <c r="E287" t="s">
        <v>34</v>
      </c>
      <c r="F287" t="s">
        <v>35</v>
      </c>
      <c r="G287" t="s">
        <v>36</v>
      </c>
      <c r="H287" t="s">
        <v>84</v>
      </c>
      <c r="I287" t="s">
        <v>85</v>
      </c>
      <c r="J287" t="s">
        <v>47</v>
      </c>
      <c r="K287" t="s">
        <v>29</v>
      </c>
      <c r="L287" t="s">
        <v>73</v>
      </c>
      <c r="M287">
        <v>11</v>
      </c>
      <c r="N287">
        <v>249.99</v>
      </c>
      <c r="O287">
        <v>2749.89</v>
      </c>
      <c r="P287">
        <v>0.05</v>
      </c>
      <c r="Q287">
        <v>137.49</v>
      </c>
      <c r="R287">
        <v>2612.4</v>
      </c>
      <c r="S287">
        <v>208.99</v>
      </c>
      <c r="T287">
        <v>2821.39</v>
      </c>
      <c r="U287" t="s">
        <v>39</v>
      </c>
    </row>
    <row r="288" spans="1:21" x14ac:dyDescent="0.35">
      <c r="A288" t="s">
        <v>402</v>
      </c>
      <c r="B288" s="1">
        <v>44693</v>
      </c>
      <c r="C288">
        <v>2022</v>
      </c>
      <c r="D288" t="s">
        <v>81</v>
      </c>
      <c r="E288" t="s">
        <v>82</v>
      </c>
      <c r="F288" t="s">
        <v>35</v>
      </c>
      <c r="G288" t="s">
        <v>83</v>
      </c>
      <c r="H288" t="s">
        <v>58</v>
      </c>
      <c r="I288" t="s">
        <v>59</v>
      </c>
      <c r="J288" t="s">
        <v>56</v>
      </c>
      <c r="K288" t="s">
        <v>68</v>
      </c>
      <c r="L288" t="s">
        <v>49</v>
      </c>
      <c r="M288">
        <v>21</v>
      </c>
      <c r="N288">
        <v>599.99</v>
      </c>
      <c r="O288">
        <v>12599.79</v>
      </c>
      <c r="P288">
        <v>0.08</v>
      </c>
      <c r="Q288">
        <v>1007.98</v>
      </c>
      <c r="R288">
        <v>11591.81</v>
      </c>
      <c r="S288">
        <v>927.34</v>
      </c>
      <c r="T288">
        <v>12519.15</v>
      </c>
      <c r="U288" t="s">
        <v>39</v>
      </c>
    </row>
    <row r="289" spans="1:21" x14ac:dyDescent="0.35">
      <c r="A289" t="s">
        <v>403</v>
      </c>
      <c r="B289" s="1">
        <v>44695</v>
      </c>
      <c r="C289">
        <v>2022</v>
      </c>
      <c r="D289" t="s">
        <v>122</v>
      </c>
      <c r="E289" t="s">
        <v>123</v>
      </c>
      <c r="F289" t="s">
        <v>64</v>
      </c>
      <c r="G289" t="s">
        <v>124</v>
      </c>
      <c r="H289" t="s">
        <v>54</v>
      </c>
      <c r="I289" t="s">
        <v>55</v>
      </c>
      <c r="J289" t="s">
        <v>56</v>
      </c>
      <c r="K289" t="s">
        <v>48</v>
      </c>
      <c r="L289" t="s">
        <v>69</v>
      </c>
      <c r="M289">
        <v>25</v>
      </c>
      <c r="N289">
        <v>39.99</v>
      </c>
      <c r="O289">
        <v>999.75</v>
      </c>
      <c r="P289">
        <v>0.08</v>
      </c>
      <c r="Q289">
        <v>79.98</v>
      </c>
      <c r="R289">
        <v>919.77</v>
      </c>
      <c r="S289">
        <v>73.58</v>
      </c>
      <c r="T289">
        <v>993.35</v>
      </c>
      <c r="U289" t="s">
        <v>39</v>
      </c>
    </row>
    <row r="290" spans="1:21" x14ac:dyDescent="0.35">
      <c r="A290" t="s">
        <v>404</v>
      </c>
      <c r="B290" s="1">
        <v>44698</v>
      </c>
      <c r="C290">
        <v>2022</v>
      </c>
      <c r="D290" t="s">
        <v>51</v>
      </c>
      <c r="E290" t="s">
        <v>52</v>
      </c>
      <c r="F290" t="s">
        <v>24</v>
      </c>
      <c r="G290" t="s">
        <v>53</v>
      </c>
      <c r="H290" t="s">
        <v>71</v>
      </c>
      <c r="I290" t="s">
        <v>72</v>
      </c>
      <c r="J290" t="s">
        <v>47</v>
      </c>
      <c r="K290" t="s">
        <v>60</v>
      </c>
      <c r="L290" t="s">
        <v>73</v>
      </c>
      <c r="M290">
        <v>25</v>
      </c>
      <c r="N290">
        <v>1199.99</v>
      </c>
      <c r="O290">
        <v>29999.75</v>
      </c>
      <c r="P290">
        <v>0.08</v>
      </c>
      <c r="Q290">
        <v>2399.98</v>
      </c>
      <c r="R290">
        <v>27599.77</v>
      </c>
      <c r="S290">
        <v>2207.98</v>
      </c>
      <c r="T290">
        <v>29807.75</v>
      </c>
      <c r="U290" t="s">
        <v>39</v>
      </c>
    </row>
    <row r="291" spans="1:21" x14ac:dyDescent="0.35">
      <c r="A291" t="s">
        <v>405</v>
      </c>
      <c r="B291" s="1">
        <v>44702</v>
      </c>
      <c r="C291">
        <v>2022</v>
      </c>
      <c r="D291" t="s">
        <v>33</v>
      </c>
      <c r="E291" t="s">
        <v>34</v>
      </c>
      <c r="F291" t="s">
        <v>35</v>
      </c>
      <c r="G291" t="s">
        <v>36</v>
      </c>
      <c r="H291" t="s">
        <v>128</v>
      </c>
      <c r="I291" t="s">
        <v>129</v>
      </c>
      <c r="J291" t="s">
        <v>47</v>
      </c>
      <c r="K291" t="s">
        <v>60</v>
      </c>
      <c r="L291" t="s">
        <v>38</v>
      </c>
      <c r="M291">
        <v>10</v>
      </c>
      <c r="N291">
        <v>399.99</v>
      </c>
      <c r="O291">
        <v>3999.9</v>
      </c>
      <c r="P291">
        <v>0.13</v>
      </c>
      <c r="Q291">
        <v>519.99</v>
      </c>
      <c r="R291">
        <v>3479.91</v>
      </c>
      <c r="S291">
        <v>278.39</v>
      </c>
      <c r="T291">
        <v>3758.3</v>
      </c>
      <c r="U291" t="s">
        <v>111</v>
      </c>
    </row>
    <row r="292" spans="1:21" x14ac:dyDescent="0.35">
      <c r="A292" t="s">
        <v>406</v>
      </c>
      <c r="B292" s="1">
        <v>44702</v>
      </c>
      <c r="C292">
        <v>2022</v>
      </c>
      <c r="D292" t="s">
        <v>33</v>
      </c>
      <c r="E292" t="s">
        <v>34</v>
      </c>
      <c r="F292" t="s">
        <v>35</v>
      </c>
      <c r="G292" t="s">
        <v>36</v>
      </c>
      <c r="H292" t="s">
        <v>104</v>
      </c>
      <c r="I292" t="s">
        <v>105</v>
      </c>
      <c r="J292" t="s">
        <v>47</v>
      </c>
      <c r="K292" t="s">
        <v>37</v>
      </c>
      <c r="L292" t="s">
        <v>73</v>
      </c>
      <c r="M292">
        <v>18</v>
      </c>
      <c r="N292">
        <v>479.99</v>
      </c>
      <c r="O292">
        <v>8639.82</v>
      </c>
      <c r="P292">
        <v>0.05</v>
      </c>
      <c r="Q292">
        <v>431.99</v>
      </c>
      <c r="R292">
        <v>8207.83</v>
      </c>
      <c r="S292">
        <v>656.63</v>
      </c>
      <c r="T292">
        <v>8864.4599999999991</v>
      </c>
      <c r="U292" t="s">
        <v>111</v>
      </c>
    </row>
    <row r="293" spans="1:21" x14ac:dyDescent="0.35">
      <c r="A293" t="s">
        <v>407</v>
      </c>
      <c r="B293" s="1">
        <v>44706</v>
      </c>
      <c r="C293">
        <v>2022</v>
      </c>
      <c r="D293" t="s">
        <v>87</v>
      </c>
      <c r="E293" t="s">
        <v>88</v>
      </c>
      <c r="F293" t="s">
        <v>24</v>
      </c>
      <c r="G293" t="s">
        <v>89</v>
      </c>
      <c r="H293" t="s">
        <v>54</v>
      </c>
      <c r="I293" t="s">
        <v>55</v>
      </c>
      <c r="J293" t="s">
        <v>56</v>
      </c>
      <c r="K293" t="s">
        <v>48</v>
      </c>
      <c r="L293" t="s">
        <v>73</v>
      </c>
      <c r="M293">
        <v>12</v>
      </c>
      <c r="N293">
        <v>39.99</v>
      </c>
      <c r="O293">
        <v>479.88</v>
      </c>
      <c r="P293">
        <v>0.05</v>
      </c>
      <c r="Q293">
        <v>23.99</v>
      </c>
      <c r="R293">
        <v>455.89</v>
      </c>
      <c r="S293">
        <v>36.47</v>
      </c>
      <c r="T293">
        <v>492.36</v>
      </c>
      <c r="U293" t="s">
        <v>39</v>
      </c>
    </row>
    <row r="294" spans="1:21" x14ac:dyDescent="0.35">
      <c r="A294" t="s">
        <v>408</v>
      </c>
      <c r="B294" s="1">
        <v>44706</v>
      </c>
      <c r="C294">
        <v>2022</v>
      </c>
      <c r="D294" t="s">
        <v>62</v>
      </c>
      <c r="E294" t="s">
        <v>63</v>
      </c>
      <c r="F294" t="s">
        <v>64</v>
      </c>
      <c r="G294" t="s">
        <v>65</v>
      </c>
      <c r="H294" t="s">
        <v>26</v>
      </c>
      <c r="I294" t="s">
        <v>27</v>
      </c>
      <c r="J294" t="s">
        <v>28</v>
      </c>
      <c r="K294" t="s">
        <v>48</v>
      </c>
      <c r="L294" t="s">
        <v>38</v>
      </c>
      <c r="M294">
        <v>25</v>
      </c>
      <c r="N294">
        <v>8.99</v>
      </c>
      <c r="O294">
        <v>224.75</v>
      </c>
      <c r="P294">
        <v>0.16</v>
      </c>
      <c r="Q294">
        <v>35.96</v>
      </c>
      <c r="R294">
        <v>188.79</v>
      </c>
      <c r="S294">
        <v>15.1</v>
      </c>
      <c r="T294">
        <v>203.89</v>
      </c>
      <c r="U294" t="s">
        <v>39</v>
      </c>
    </row>
    <row r="295" spans="1:21" x14ac:dyDescent="0.35">
      <c r="A295" t="s">
        <v>409</v>
      </c>
      <c r="B295" s="1">
        <v>44707</v>
      </c>
      <c r="C295">
        <v>2022</v>
      </c>
      <c r="D295" t="s">
        <v>107</v>
      </c>
      <c r="E295" t="s">
        <v>108</v>
      </c>
      <c r="F295" t="s">
        <v>35</v>
      </c>
      <c r="G295" t="s">
        <v>109</v>
      </c>
      <c r="H295" t="s">
        <v>26</v>
      </c>
      <c r="I295" t="s">
        <v>27</v>
      </c>
      <c r="J295" t="s">
        <v>28</v>
      </c>
      <c r="K295" t="s">
        <v>29</v>
      </c>
      <c r="L295" t="s">
        <v>49</v>
      </c>
      <c r="M295">
        <v>29</v>
      </c>
      <c r="N295">
        <v>8.99</v>
      </c>
      <c r="O295">
        <v>260.70999999999998</v>
      </c>
      <c r="P295">
        <v>0.08</v>
      </c>
      <c r="Q295">
        <v>20.86</v>
      </c>
      <c r="R295">
        <v>239.85</v>
      </c>
      <c r="S295">
        <v>19.190000000000001</v>
      </c>
      <c r="T295">
        <v>0</v>
      </c>
      <c r="U295" t="s">
        <v>31</v>
      </c>
    </row>
    <row r="296" spans="1:21" x14ac:dyDescent="0.35">
      <c r="A296" t="s">
        <v>410</v>
      </c>
      <c r="B296" s="1">
        <v>44709</v>
      </c>
      <c r="C296">
        <v>2022</v>
      </c>
      <c r="D296" t="s">
        <v>81</v>
      </c>
      <c r="E296" t="s">
        <v>82</v>
      </c>
      <c r="F296" t="s">
        <v>35</v>
      </c>
      <c r="G296" t="s">
        <v>83</v>
      </c>
      <c r="H296" t="s">
        <v>54</v>
      </c>
      <c r="I296" t="s">
        <v>55</v>
      </c>
      <c r="J296" t="s">
        <v>56</v>
      </c>
      <c r="K296" t="s">
        <v>48</v>
      </c>
      <c r="L296" t="s">
        <v>30</v>
      </c>
      <c r="M296">
        <v>4</v>
      </c>
      <c r="N296">
        <v>39.99</v>
      </c>
      <c r="O296">
        <v>159.96</v>
      </c>
      <c r="P296">
        <v>0</v>
      </c>
      <c r="Q296">
        <v>0</v>
      </c>
      <c r="R296">
        <v>159.96</v>
      </c>
      <c r="S296">
        <v>12.8</v>
      </c>
      <c r="T296">
        <v>172.76</v>
      </c>
      <c r="U296" t="s">
        <v>39</v>
      </c>
    </row>
    <row r="297" spans="1:21" x14ac:dyDescent="0.35">
      <c r="A297" t="s">
        <v>411</v>
      </c>
      <c r="B297" s="1">
        <v>44709</v>
      </c>
      <c r="C297">
        <v>2022</v>
      </c>
      <c r="D297" t="s">
        <v>51</v>
      </c>
      <c r="E297" t="s">
        <v>52</v>
      </c>
      <c r="F297" t="s">
        <v>24</v>
      </c>
      <c r="G297" t="s">
        <v>53</v>
      </c>
      <c r="H297" t="s">
        <v>94</v>
      </c>
      <c r="I297" t="s">
        <v>95</v>
      </c>
      <c r="J297" t="s">
        <v>56</v>
      </c>
      <c r="K297" t="s">
        <v>48</v>
      </c>
      <c r="L297" t="s">
        <v>49</v>
      </c>
      <c r="M297">
        <v>10</v>
      </c>
      <c r="N297">
        <v>349.99</v>
      </c>
      <c r="O297">
        <v>3499.9</v>
      </c>
      <c r="P297">
        <v>0.05</v>
      </c>
      <c r="Q297">
        <v>175</v>
      </c>
      <c r="R297">
        <v>3324.9</v>
      </c>
      <c r="S297">
        <v>265.99</v>
      </c>
      <c r="T297">
        <v>3590.89</v>
      </c>
      <c r="U297" t="s">
        <v>39</v>
      </c>
    </row>
    <row r="298" spans="1:21" x14ac:dyDescent="0.35">
      <c r="A298" t="s">
        <v>412</v>
      </c>
      <c r="B298" s="1">
        <v>44709</v>
      </c>
      <c r="C298">
        <v>2022</v>
      </c>
      <c r="D298" t="s">
        <v>62</v>
      </c>
      <c r="E298" t="s">
        <v>63</v>
      </c>
      <c r="F298" t="s">
        <v>64</v>
      </c>
      <c r="G298" t="s">
        <v>65</v>
      </c>
      <c r="H298" t="s">
        <v>145</v>
      </c>
      <c r="I298" t="s">
        <v>146</v>
      </c>
      <c r="J298" t="s">
        <v>47</v>
      </c>
      <c r="K298" t="s">
        <v>60</v>
      </c>
      <c r="L298" t="s">
        <v>38</v>
      </c>
      <c r="M298">
        <v>7</v>
      </c>
      <c r="N298">
        <v>129.99</v>
      </c>
      <c r="O298">
        <v>909.93</v>
      </c>
      <c r="P298">
        <v>0.08</v>
      </c>
      <c r="Q298">
        <v>72.790000000000006</v>
      </c>
      <c r="R298">
        <v>837.14</v>
      </c>
      <c r="S298">
        <v>66.97</v>
      </c>
      <c r="T298">
        <v>904.11</v>
      </c>
      <c r="U298" t="s">
        <v>111</v>
      </c>
    </row>
    <row r="299" spans="1:21" x14ac:dyDescent="0.35">
      <c r="A299" t="s">
        <v>413</v>
      </c>
      <c r="B299" s="1">
        <v>44710</v>
      </c>
      <c r="C299">
        <v>2022</v>
      </c>
      <c r="D299" t="s">
        <v>186</v>
      </c>
      <c r="E299" t="s">
        <v>187</v>
      </c>
      <c r="F299" t="s">
        <v>43</v>
      </c>
      <c r="G299" t="s">
        <v>188</v>
      </c>
      <c r="H299" t="s">
        <v>145</v>
      </c>
      <c r="I299" t="s">
        <v>146</v>
      </c>
      <c r="J299" t="s">
        <v>47</v>
      </c>
      <c r="K299" t="s">
        <v>68</v>
      </c>
      <c r="L299" t="s">
        <v>38</v>
      </c>
      <c r="M299">
        <v>18</v>
      </c>
      <c r="N299">
        <v>129.99</v>
      </c>
      <c r="O299">
        <v>2339.8200000000002</v>
      </c>
      <c r="P299">
        <v>0.13</v>
      </c>
      <c r="Q299">
        <v>304.18</v>
      </c>
      <c r="R299">
        <v>2035.64</v>
      </c>
      <c r="S299">
        <v>162.85</v>
      </c>
      <c r="T299">
        <v>2198.4899999999998</v>
      </c>
      <c r="U299" t="s">
        <v>111</v>
      </c>
    </row>
    <row r="300" spans="1:21" x14ac:dyDescent="0.35">
      <c r="A300" t="s">
        <v>414</v>
      </c>
      <c r="B300" s="1">
        <v>44710</v>
      </c>
      <c r="C300">
        <v>2022</v>
      </c>
      <c r="D300" t="s">
        <v>41</v>
      </c>
      <c r="E300" t="s">
        <v>42</v>
      </c>
      <c r="F300" t="s">
        <v>43</v>
      </c>
      <c r="G300" t="s">
        <v>44</v>
      </c>
      <c r="H300" t="s">
        <v>58</v>
      </c>
      <c r="I300" t="s">
        <v>59</v>
      </c>
      <c r="J300" t="s">
        <v>56</v>
      </c>
      <c r="K300" t="s">
        <v>29</v>
      </c>
      <c r="L300" t="s">
        <v>73</v>
      </c>
      <c r="M300">
        <v>2</v>
      </c>
      <c r="N300">
        <v>599.99</v>
      </c>
      <c r="O300">
        <v>1199.98</v>
      </c>
      <c r="P300">
        <v>0</v>
      </c>
      <c r="Q300">
        <v>0</v>
      </c>
      <c r="R300">
        <v>1199.98</v>
      </c>
      <c r="S300">
        <v>96</v>
      </c>
      <c r="T300">
        <v>1295.98</v>
      </c>
      <c r="U300" t="s">
        <v>39</v>
      </c>
    </row>
    <row r="301" spans="1:21" x14ac:dyDescent="0.35">
      <c r="A301" t="s">
        <v>415</v>
      </c>
      <c r="B301" s="1">
        <v>44710</v>
      </c>
      <c r="C301">
        <v>2022</v>
      </c>
      <c r="D301" t="s">
        <v>107</v>
      </c>
      <c r="E301" t="s">
        <v>108</v>
      </c>
      <c r="F301" t="s">
        <v>35</v>
      </c>
      <c r="G301" t="s">
        <v>109</v>
      </c>
      <c r="H301" t="s">
        <v>125</v>
      </c>
      <c r="I301" t="s">
        <v>126</v>
      </c>
      <c r="J301" t="s">
        <v>28</v>
      </c>
      <c r="K301" t="s">
        <v>68</v>
      </c>
      <c r="L301" t="s">
        <v>38</v>
      </c>
      <c r="M301">
        <v>6</v>
      </c>
      <c r="N301">
        <v>79.989999999999995</v>
      </c>
      <c r="O301">
        <v>479.94</v>
      </c>
      <c r="P301">
        <v>0.08</v>
      </c>
      <c r="Q301">
        <v>38.4</v>
      </c>
      <c r="R301">
        <v>441.54</v>
      </c>
      <c r="S301">
        <v>35.32</v>
      </c>
      <c r="T301">
        <v>476.86</v>
      </c>
      <c r="U301" t="s">
        <v>39</v>
      </c>
    </row>
    <row r="302" spans="1:21" x14ac:dyDescent="0.35">
      <c r="A302" t="s">
        <v>416</v>
      </c>
      <c r="B302" s="1">
        <v>44712</v>
      </c>
      <c r="C302">
        <v>2022</v>
      </c>
      <c r="D302" t="s">
        <v>81</v>
      </c>
      <c r="E302" t="s">
        <v>82</v>
      </c>
      <c r="F302" t="s">
        <v>35</v>
      </c>
      <c r="G302" t="s">
        <v>83</v>
      </c>
      <c r="H302" t="s">
        <v>54</v>
      </c>
      <c r="I302" t="s">
        <v>55</v>
      </c>
      <c r="J302" t="s">
        <v>56</v>
      </c>
      <c r="K302" t="s">
        <v>37</v>
      </c>
      <c r="L302" t="s">
        <v>38</v>
      </c>
      <c r="M302">
        <v>17</v>
      </c>
      <c r="N302">
        <v>39.99</v>
      </c>
      <c r="O302">
        <v>679.83</v>
      </c>
      <c r="P302">
        <v>0.13</v>
      </c>
      <c r="Q302">
        <v>88.38</v>
      </c>
      <c r="R302">
        <v>591.45000000000005</v>
      </c>
      <c r="S302">
        <v>47.32</v>
      </c>
      <c r="T302">
        <v>0</v>
      </c>
      <c r="U302" t="s">
        <v>31</v>
      </c>
    </row>
    <row r="303" spans="1:21" x14ac:dyDescent="0.35">
      <c r="A303" t="s">
        <v>417</v>
      </c>
      <c r="B303" s="1">
        <v>44713</v>
      </c>
      <c r="C303">
        <v>2022</v>
      </c>
      <c r="D303" t="s">
        <v>81</v>
      </c>
      <c r="E303" t="s">
        <v>82</v>
      </c>
      <c r="F303" t="s">
        <v>35</v>
      </c>
      <c r="G303" t="s">
        <v>83</v>
      </c>
      <c r="H303" t="s">
        <v>58</v>
      </c>
      <c r="I303" t="s">
        <v>59</v>
      </c>
      <c r="J303" t="s">
        <v>56</v>
      </c>
      <c r="K303" t="s">
        <v>29</v>
      </c>
      <c r="L303" t="s">
        <v>69</v>
      </c>
      <c r="M303">
        <v>11</v>
      </c>
      <c r="N303">
        <v>599.99</v>
      </c>
      <c r="O303">
        <v>6599.89</v>
      </c>
      <c r="P303">
        <v>0.05</v>
      </c>
      <c r="Q303">
        <v>329.99</v>
      </c>
      <c r="R303">
        <v>6269.9</v>
      </c>
      <c r="S303">
        <v>501.59</v>
      </c>
      <c r="T303">
        <v>6771.49</v>
      </c>
      <c r="U303" t="s">
        <v>111</v>
      </c>
    </row>
    <row r="304" spans="1:21" x14ac:dyDescent="0.35">
      <c r="A304" t="s">
        <v>418</v>
      </c>
      <c r="B304" s="1">
        <v>44714</v>
      </c>
      <c r="C304">
        <v>2022</v>
      </c>
      <c r="D304" t="s">
        <v>51</v>
      </c>
      <c r="E304" t="s">
        <v>52</v>
      </c>
      <c r="F304" t="s">
        <v>24</v>
      </c>
      <c r="G304" t="s">
        <v>53</v>
      </c>
      <c r="H304" t="s">
        <v>84</v>
      </c>
      <c r="I304" t="s">
        <v>85</v>
      </c>
      <c r="J304" t="s">
        <v>47</v>
      </c>
      <c r="K304" t="s">
        <v>60</v>
      </c>
      <c r="L304" t="s">
        <v>73</v>
      </c>
      <c r="M304">
        <v>13</v>
      </c>
      <c r="N304">
        <v>249.99</v>
      </c>
      <c r="O304">
        <v>3249.87</v>
      </c>
      <c r="P304">
        <v>0.05</v>
      </c>
      <c r="Q304">
        <v>162.49</v>
      </c>
      <c r="R304">
        <v>3087.38</v>
      </c>
      <c r="S304">
        <v>246.99</v>
      </c>
      <c r="T304">
        <v>3334.37</v>
      </c>
      <c r="U304" t="s">
        <v>111</v>
      </c>
    </row>
    <row r="305" spans="1:21" x14ac:dyDescent="0.35">
      <c r="A305" t="s">
        <v>419</v>
      </c>
      <c r="B305" s="1">
        <v>44715</v>
      </c>
      <c r="C305">
        <v>2022</v>
      </c>
      <c r="D305" t="s">
        <v>75</v>
      </c>
      <c r="E305" t="s">
        <v>76</v>
      </c>
      <c r="F305" t="s">
        <v>64</v>
      </c>
      <c r="G305" t="s">
        <v>77</v>
      </c>
      <c r="H305" t="s">
        <v>26</v>
      </c>
      <c r="I305" t="s">
        <v>27</v>
      </c>
      <c r="J305" t="s">
        <v>28</v>
      </c>
      <c r="K305" t="s">
        <v>60</v>
      </c>
      <c r="L305" t="s">
        <v>30</v>
      </c>
      <c r="M305">
        <v>27</v>
      </c>
      <c r="N305">
        <v>8.99</v>
      </c>
      <c r="O305">
        <v>242.73</v>
      </c>
      <c r="P305">
        <v>0.08</v>
      </c>
      <c r="Q305">
        <v>19.420000000000002</v>
      </c>
      <c r="R305">
        <v>223.31</v>
      </c>
      <c r="S305">
        <v>17.86</v>
      </c>
      <c r="T305">
        <v>241.17</v>
      </c>
      <c r="U305" t="s">
        <v>111</v>
      </c>
    </row>
    <row r="306" spans="1:21" x14ac:dyDescent="0.35">
      <c r="A306" t="s">
        <v>420</v>
      </c>
      <c r="B306" s="1">
        <v>44720</v>
      </c>
      <c r="C306">
        <v>2022</v>
      </c>
      <c r="D306" t="s">
        <v>122</v>
      </c>
      <c r="E306" t="s">
        <v>123</v>
      </c>
      <c r="F306" t="s">
        <v>64</v>
      </c>
      <c r="G306" t="s">
        <v>124</v>
      </c>
      <c r="H306" t="s">
        <v>84</v>
      </c>
      <c r="I306" t="s">
        <v>85</v>
      </c>
      <c r="J306" t="s">
        <v>47</v>
      </c>
      <c r="K306" t="s">
        <v>29</v>
      </c>
      <c r="L306" t="s">
        <v>30</v>
      </c>
      <c r="M306">
        <v>3</v>
      </c>
      <c r="N306">
        <v>249.99</v>
      </c>
      <c r="O306">
        <v>749.97</v>
      </c>
      <c r="P306">
        <v>0</v>
      </c>
      <c r="Q306">
        <v>0</v>
      </c>
      <c r="R306">
        <v>749.97</v>
      </c>
      <c r="S306">
        <v>60</v>
      </c>
      <c r="T306">
        <v>809.97</v>
      </c>
      <c r="U306" t="s">
        <v>111</v>
      </c>
    </row>
    <row r="307" spans="1:21" x14ac:dyDescent="0.35">
      <c r="A307" t="s">
        <v>421</v>
      </c>
      <c r="B307" s="1">
        <v>44721</v>
      </c>
      <c r="C307">
        <v>2022</v>
      </c>
      <c r="D307" t="s">
        <v>75</v>
      </c>
      <c r="E307" t="s">
        <v>76</v>
      </c>
      <c r="F307" t="s">
        <v>64</v>
      </c>
      <c r="G307" t="s">
        <v>77</v>
      </c>
      <c r="H307" t="s">
        <v>58</v>
      </c>
      <c r="I307" t="s">
        <v>59</v>
      </c>
      <c r="J307" t="s">
        <v>56</v>
      </c>
      <c r="K307" t="s">
        <v>60</v>
      </c>
      <c r="L307" t="s">
        <v>30</v>
      </c>
      <c r="M307">
        <v>25</v>
      </c>
      <c r="N307">
        <v>599.99</v>
      </c>
      <c r="O307">
        <v>14999.75</v>
      </c>
      <c r="P307">
        <v>0.08</v>
      </c>
      <c r="Q307">
        <v>1199.98</v>
      </c>
      <c r="R307">
        <v>13799.77</v>
      </c>
      <c r="S307">
        <v>1103.98</v>
      </c>
      <c r="T307">
        <v>14903.75</v>
      </c>
      <c r="U307" t="s">
        <v>111</v>
      </c>
    </row>
    <row r="308" spans="1:21" x14ac:dyDescent="0.35">
      <c r="A308" t="s">
        <v>422</v>
      </c>
      <c r="B308" s="1">
        <v>44725</v>
      </c>
      <c r="C308">
        <v>2022</v>
      </c>
      <c r="D308" t="s">
        <v>142</v>
      </c>
      <c r="E308" t="s">
        <v>143</v>
      </c>
      <c r="F308" t="s">
        <v>43</v>
      </c>
      <c r="G308" t="s">
        <v>144</v>
      </c>
      <c r="H308" t="s">
        <v>128</v>
      </c>
      <c r="I308" t="s">
        <v>129</v>
      </c>
      <c r="J308" t="s">
        <v>47</v>
      </c>
      <c r="K308" t="s">
        <v>37</v>
      </c>
      <c r="L308" t="s">
        <v>30</v>
      </c>
      <c r="M308">
        <v>11</v>
      </c>
      <c r="N308">
        <v>399.99</v>
      </c>
      <c r="O308">
        <v>4399.8900000000003</v>
      </c>
      <c r="P308">
        <v>0.05</v>
      </c>
      <c r="Q308">
        <v>219.99</v>
      </c>
      <c r="R308">
        <v>4179.8999999999996</v>
      </c>
      <c r="S308">
        <v>334.39</v>
      </c>
      <c r="T308">
        <v>4514.29</v>
      </c>
      <c r="U308" t="s">
        <v>39</v>
      </c>
    </row>
    <row r="309" spans="1:21" x14ac:dyDescent="0.35">
      <c r="A309" t="s">
        <v>423</v>
      </c>
      <c r="B309" s="1">
        <v>44732</v>
      </c>
      <c r="C309">
        <v>2022</v>
      </c>
      <c r="D309" t="s">
        <v>62</v>
      </c>
      <c r="E309" t="s">
        <v>63</v>
      </c>
      <c r="F309" t="s">
        <v>64</v>
      </c>
      <c r="G309" t="s">
        <v>65</v>
      </c>
      <c r="H309" t="s">
        <v>84</v>
      </c>
      <c r="I309" t="s">
        <v>85</v>
      </c>
      <c r="J309" t="s">
        <v>47</v>
      </c>
      <c r="K309" t="s">
        <v>48</v>
      </c>
      <c r="L309" t="s">
        <v>69</v>
      </c>
      <c r="M309">
        <v>26</v>
      </c>
      <c r="N309">
        <v>249.99</v>
      </c>
      <c r="O309">
        <v>6499.74</v>
      </c>
      <c r="P309">
        <v>0.08</v>
      </c>
      <c r="Q309">
        <v>519.98</v>
      </c>
      <c r="R309">
        <v>5979.76</v>
      </c>
      <c r="S309">
        <v>478.38</v>
      </c>
      <c r="T309">
        <v>6458.14</v>
      </c>
      <c r="U309" t="s">
        <v>39</v>
      </c>
    </row>
    <row r="310" spans="1:21" x14ac:dyDescent="0.35">
      <c r="A310" t="s">
        <v>424</v>
      </c>
      <c r="B310" s="1">
        <v>44734</v>
      </c>
      <c r="C310">
        <v>2022</v>
      </c>
      <c r="D310" t="s">
        <v>22</v>
      </c>
      <c r="E310" t="s">
        <v>23</v>
      </c>
      <c r="F310" t="s">
        <v>24</v>
      </c>
      <c r="G310" t="s">
        <v>25</v>
      </c>
      <c r="H310" t="s">
        <v>54</v>
      </c>
      <c r="I310" t="s">
        <v>55</v>
      </c>
      <c r="J310" t="s">
        <v>56</v>
      </c>
      <c r="K310" t="s">
        <v>48</v>
      </c>
      <c r="L310" t="s">
        <v>30</v>
      </c>
      <c r="M310">
        <v>22</v>
      </c>
      <c r="N310">
        <v>39.99</v>
      </c>
      <c r="O310">
        <v>879.78</v>
      </c>
      <c r="P310">
        <v>0.08</v>
      </c>
      <c r="Q310">
        <v>70.38</v>
      </c>
      <c r="R310">
        <v>809.4</v>
      </c>
      <c r="S310">
        <v>64.75</v>
      </c>
      <c r="T310">
        <v>874.15</v>
      </c>
      <c r="U310" t="s">
        <v>39</v>
      </c>
    </row>
    <row r="311" spans="1:21" x14ac:dyDescent="0.35">
      <c r="A311" t="s">
        <v>425</v>
      </c>
      <c r="B311" s="1">
        <v>44742</v>
      </c>
      <c r="C311">
        <v>2022</v>
      </c>
      <c r="D311" t="s">
        <v>122</v>
      </c>
      <c r="E311" t="s">
        <v>123</v>
      </c>
      <c r="F311" t="s">
        <v>64</v>
      </c>
      <c r="G311" t="s">
        <v>124</v>
      </c>
      <c r="H311" t="s">
        <v>66</v>
      </c>
      <c r="I311" t="s">
        <v>67</v>
      </c>
      <c r="J311" t="s">
        <v>56</v>
      </c>
      <c r="K311" t="s">
        <v>68</v>
      </c>
      <c r="L311" t="s">
        <v>49</v>
      </c>
      <c r="M311">
        <v>10</v>
      </c>
      <c r="N311">
        <v>229.99</v>
      </c>
      <c r="O311">
        <v>2299.9</v>
      </c>
      <c r="P311">
        <v>0.05</v>
      </c>
      <c r="Q311">
        <v>115</v>
      </c>
      <c r="R311">
        <v>2184.9</v>
      </c>
      <c r="S311">
        <v>174.79</v>
      </c>
      <c r="T311">
        <v>0</v>
      </c>
      <c r="U311" t="s">
        <v>31</v>
      </c>
    </row>
    <row r="312" spans="1:21" x14ac:dyDescent="0.35">
      <c r="A312" t="s">
        <v>426</v>
      </c>
      <c r="B312" s="1">
        <v>44742</v>
      </c>
      <c r="C312">
        <v>2022</v>
      </c>
      <c r="D312" t="s">
        <v>33</v>
      </c>
      <c r="E312" t="s">
        <v>34</v>
      </c>
      <c r="F312" t="s">
        <v>35</v>
      </c>
      <c r="G312" t="s">
        <v>36</v>
      </c>
      <c r="H312" t="s">
        <v>84</v>
      </c>
      <c r="I312" t="s">
        <v>85</v>
      </c>
      <c r="J312" t="s">
        <v>47</v>
      </c>
      <c r="K312" t="s">
        <v>48</v>
      </c>
      <c r="L312" t="s">
        <v>49</v>
      </c>
      <c r="M312">
        <v>2</v>
      </c>
      <c r="N312">
        <v>249.99</v>
      </c>
      <c r="O312">
        <v>499.98</v>
      </c>
      <c r="P312">
        <v>0</v>
      </c>
      <c r="Q312">
        <v>0</v>
      </c>
      <c r="R312">
        <v>499.98</v>
      </c>
      <c r="S312">
        <v>40</v>
      </c>
      <c r="T312">
        <v>539.98</v>
      </c>
      <c r="U312" t="s">
        <v>39</v>
      </c>
    </row>
    <row r="313" spans="1:21" x14ac:dyDescent="0.35">
      <c r="A313" t="s">
        <v>427</v>
      </c>
      <c r="B313" s="1">
        <v>44742</v>
      </c>
      <c r="C313">
        <v>2022</v>
      </c>
      <c r="D313" t="s">
        <v>41</v>
      </c>
      <c r="E313" t="s">
        <v>42</v>
      </c>
      <c r="F313" t="s">
        <v>43</v>
      </c>
      <c r="G313" t="s">
        <v>44</v>
      </c>
      <c r="H313" t="s">
        <v>78</v>
      </c>
      <c r="I313" t="s">
        <v>79</v>
      </c>
      <c r="J313" t="s">
        <v>28</v>
      </c>
      <c r="K313" t="s">
        <v>37</v>
      </c>
      <c r="L313" t="s">
        <v>38</v>
      </c>
      <c r="M313">
        <v>24</v>
      </c>
      <c r="N313">
        <v>5.99</v>
      </c>
      <c r="O313">
        <v>143.76</v>
      </c>
      <c r="P313">
        <v>0.16</v>
      </c>
      <c r="Q313">
        <v>23</v>
      </c>
      <c r="R313">
        <v>120.76</v>
      </c>
      <c r="S313">
        <v>9.66</v>
      </c>
      <c r="T313">
        <v>130.41999999999999</v>
      </c>
      <c r="U313" t="s">
        <v>39</v>
      </c>
    </row>
    <row r="314" spans="1:21" x14ac:dyDescent="0.35">
      <c r="A314" t="s">
        <v>428</v>
      </c>
      <c r="B314" s="1">
        <v>44747</v>
      </c>
      <c r="C314">
        <v>2022</v>
      </c>
      <c r="D314" t="s">
        <v>81</v>
      </c>
      <c r="E314" t="s">
        <v>82</v>
      </c>
      <c r="F314" t="s">
        <v>35</v>
      </c>
      <c r="G314" t="s">
        <v>83</v>
      </c>
      <c r="H314" t="s">
        <v>100</v>
      </c>
      <c r="I314" t="s">
        <v>101</v>
      </c>
      <c r="J314" t="s">
        <v>47</v>
      </c>
      <c r="K314" t="s">
        <v>68</v>
      </c>
      <c r="L314" t="s">
        <v>38</v>
      </c>
      <c r="M314">
        <v>25</v>
      </c>
      <c r="N314">
        <v>29.99</v>
      </c>
      <c r="O314">
        <v>749.75</v>
      </c>
      <c r="P314">
        <v>0.16</v>
      </c>
      <c r="Q314">
        <v>119.96</v>
      </c>
      <c r="R314">
        <v>629.79</v>
      </c>
      <c r="S314">
        <v>50.38</v>
      </c>
      <c r="T314">
        <v>680.17</v>
      </c>
      <c r="U314" t="s">
        <v>39</v>
      </c>
    </row>
    <row r="315" spans="1:21" x14ac:dyDescent="0.35">
      <c r="A315" t="s">
        <v>429</v>
      </c>
      <c r="B315" s="1">
        <v>44747</v>
      </c>
      <c r="C315">
        <v>2022</v>
      </c>
      <c r="D315" t="s">
        <v>75</v>
      </c>
      <c r="E315" t="s">
        <v>76</v>
      </c>
      <c r="F315" t="s">
        <v>64</v>
      </c>
      <c r="G315" t="s">
        <v>77</v>
      </c>
      <c r="H315" t="s">
        <v>26</v>
      </c>
      <c r="I315" t="s">
        <v>27</v>
      </c>
      <c r="J315" t="s">
        <v>28</v>
      </c>
      <c r="K315" t="s">
        <v>48</v>
      </c>
      <c r="L315" t="s">
        <v>38</v>
      </c>
      <c r="M315">
        <v>30</v>
      </c>
      <c r="N315">
        <v>8.99</v>
      </c>
      <c r="O315">
        <v>269.7</v>
      </c>
      <c r="P315">
        <v>0.16</v>
      </c>
      <c r="Q315">
        <v>43.15</v>
      </c>
      <c r="R315">
        <v>226.55</v>
      </c>
      <c r="S315">
        <v>18.12</v>
      </c>
      <c r="T315">
        <v>244.67</v>
      </c>
      <c r="U315" t="s">
        <v>111</v>
      </c>
    </row>
    <row r="316" spans="1:21" x14ac:dyDescent="0.35">
      <c r="A316" t="s">
        <v>430</v>
      </c>
      <c r="B316" s="1">
        <v>44750</v>
      </c>
      <c r="C316">
        <v>2022</v>
      </c>
      <c r="D316" t="s">
        <v>62</v>
      </c>
      <c r="E316" t="s">
        <v>63</v>
      </c>
      <c r="F316" t="s">
        <v>64</v>
      </c>
      <c r="G316" t="s">
        <v>65</v>
      </c>
      <c r="H316" t="s">
        <v>104</v>
      </c>
      <c r="I316" t="s">
        <v>105</v>
      </c>
      <c r="J316" t="s">
        <v>47</v>
      </c>
      <c r="K316" t="s">
        <v>37</v>
      </c>
      <c r="L316" t="s">
        <v>49</v>
      </c>
      <c r="M316">
        <v>26</v>
      </c>
      <c r="N316">
        <v>479.99</v>
      </c>
      <c r="O316">
        <v>12479.74</v>
      </c>
      <c r="P316">
        <v>0.08</v>
      </c>
      <c r="Q316">
        <v>998.38</v>
      </c>
      <c r="R316">
        <v>11481.36</v>
      </c>
      <c r="S316">
        <v>918.51</v>
      </c>
      <c r="T316">
        <v>12399.87</v>
      </c>
      <c r="U316" t="s">
        <v>39</v>
      </c>
    </row>
    <row r="317" spans="1:21" x14ac:dyDescent="0.35">
      <c r="A317" t="s">
        <v>431</v>
      </c>
      <c r="B317" s="1">
        <v>44751</v>
      </c>
      <c r="C317">
        <v>2022</v>
      </c>
      <c r="D317" t="s">
        <v>148</v>
      </c>
      <c r="E317" t="s">
        <v>149</v>
      </c>
      <c r="F317" t="s">
        <v>43</v>
      </c>
      <c r="G317" t="s">
        <v>150</v>
      </c>
      <c r="H317" t="s">
        <v>78</v>
      </c>
      <c r="I317" t="s">
        <v>79</v>
      </c>
      <c r="J317" t="s">
        <v>28</v>
      </c>
      <c r="K317" t="s">
        <v>37</v>
      </c>
      <c r="L317" t="s">
        <v>38</v>
      </c>
      <c r="M317">
        <v>25</v>
      </c>
      <c r="N317">
        <v>5.99</v>
      </c>
      <c r="O317">
        <v>149.75</v>
      </c>
      <c r="P317">
        <v>0.16</v>
      </c>
      <c r="Q317">
        <v>23.96</v>
      </c>
      <c r="R317">
        <v>125.79</v>
      </c>
      <c r="S317">
        <v>10.06</v>
      </c>
      <c r="T317">
        <v>135.85</v>
      </c>
      <c r="U317" t="s">
        <v>39</v>
      </c>
    </row>
    <row r="318" spans="1:21" x14ac:dyDescent="0.35">
      <c r="A318" t="s">
        <v>432</v>
      </c>
      <c r="B318" s="1">
        <v>44758</v>
      </c>
      <c r="C318">
        <v>2022</v>
      </c>
      <c r="D318" t="s">
        <v>148</v>
      </c>
      <c r="E318" t="s">
        <v>149</v>
      </c>
      <c r="F318" t="s">
        <v>43</v>
      </c>
      <c r="G318" t="s">
        <v>150</v>
      </c>
      <c r="H318" t="s">
        <v>104</v>
      </c>
      <c r="I318" t="s">
        <v>105</v>
      </c>
      <c r="J318" t="s">
        <v>47</v>
      </c>
      <c r="K318" t="s">
        <v>68</v>
      </c>
      <c r="L318" t="s">
        <v>30</v>
      </c>
      <c r="M318">
        <v>17</v>
      </c>
      <c r="N318">
        <v>479.99</v>
      </c>
      <c r="O318">
        <v>8159.83</v>
      </c>
      <c r="P318">
        <v>0.05</v>
      </c>
      <c r="Q318">
        <v>407.99</v>
      </c>
      <c r="R318">
        <v>7751.84</v>
      </c>
      <c r="S318">
        <v>620.15</v>
      </c>
      <c r="T318">
        <v>0</v>
      </c>
      <c r="U318" t="s">
        <v>31</v>
      </c>
    </row>
    <row r="319" spans="1:21" x14ac:dyDescent="0.35">
      <c r="A319" t="s">
        <v>433</v>
      </c>
      <c r="B319" s="1">
        <v>44764</v>
      </c>
      <c r="C319">
        <v>2022</v>
      </c>
      <c r="D319" t="s">
        <v>41</v>
      </c>
      <c r="E319" t="s">
        <v>42</v>
      </c>
      <c r="F319" t="s">
        <v>43</v>
      </c>
      <c r="G319" t="s">
        <v>44</v>
      </c>
      <c r="H319" t="s">
        <v>45</v>
      </c>
      <c r="I319" t="s">
        <v>46</v>
      </c>
      <c r="J319" t="s">
        <v>47</v>
      </c>
      <c r="K319" t="s">
        <v>48</v>
      </c>
      <c r="L319" t="s">
        <v>49</v>
      </c>
      <c r="M319">
        <v>8</v>
      </c>
      <c r="N319">
        <v>89.99</v>
      </c>
      <c r="O319">
        <v>719.92</v>
      </c>
      <c r="P319">
        <v>0</v>
      </c>
      <c r="Q319">
        <v>0</v>
      </c>
      <c r="R319">
        <v>719.92</v>
      </c>
      <c r="S319">
        <v>57.59</v>
      </c>
      <c r="T319">
        <v>777.51</v>
      </c>
      <c r="U319" t="s">
        <v>39</v>
      </c>
    </row>
    <row r="320" spans="1:21" x14ac:dyDescent="0.35">
      <c r="A320" t="s">
        <v>434</v>
      </c>
      <c r="B320" s="1">
        <v>44764</v>
      </c>
      <c r="C320">
        <v>2022</v>
      </c>
      <c r="D320" t="s">
        <v>41</v>
      </c>
      <c r="E320" t="s">
        <v>42</v>
      </c>
      <c r="F320" t="s">
        <v>43</v>
      </c>
      <c r="G320" t="s">
        <v>44</v>
      </c>
      <c r="H320" t="s">
        <v>104</v>
      </c>
      <c r="I320" t="s">
        <v>105</v>
      </c>
      <c r="J320" t="s">
        <v>47</v>
      </c>
      <c r="K320" t="s">
        <v>37</v>
      </c>
      <c r="L320" t="s">
        <v>69</v>
      </c>
      <c r="M320">
        <v>2</v>
      </c>
      <c r="N320">
        <v>479.99</v>
      </c>
      <c r="O320">
        <v>959.98</v>
      </c>
      <c r="P320">
        <v>0</v>
      </c>
      <c r="Q320">
        <v>0</v>
      </c>
      <c r="R320">
        <v>959.98</v>
      </c>
      <c r="S320">
        <v>76.8</v>
      </c>
      <c r="T320">
        <v>1036.78</v>
      </c>
      <c r="U320" t="s">
        <v>39</v>
      </c>
    </row>
    <row r="321" spans="1:21" x14ac:dyDescent="0.35">
      <c r="A321" t="s">
        <v>435</v>
      </c>
      <c r="B321" s="1">
        <v>44767</v>
      </c>
      <c r="C321">
        <v>2022</v>
      </c>
      <c r="D321" t="s">
        <v>122</v>
      </c>
      <c r="E321" t="s">
        <v>123</v>
      </c>
      <c r="F321" t="s">
        <v>64</v>
      </c>
      <c r="G321" t="s">
        <v>124</v>
      </c>
      <c r="H321" t="s">
        <v>100</v>
      </c>
      <c r="I321" t="s">
        <v>101</v>
      </c>
      <c r="J321" t="s">
        <v>47</v>
      </c>
      <c r="K321" t="s">
        <v>68</v>
      </c>
      <c r="L321" t="s">
        <v>73</v>
      </c>
      <c r="M321">
        <v>19</v>
      </c>
      <c r="N321">
        <v>29.99</v>
      </c>
      <c r="O321">
        <v>569.80999999999995</v>
      </c>
      <c r="P321">
        <v>0.05</v>
      </c>
      <c r="Q321">
        <v>28.49</v>
      </c>
      <c r="R321">
        <v>541.32000000000005</v>
      </c>
      <c r="S321">
        <v>43.31</v>
      </c>
      <c r="T321">
        <v>584.63</v>
      </c>
      <c r="U321" t="s">
        <v>39</v>
      </c>
    </row>
    <row r="322" spans="1:21" x14ac:dyDescent="0.35">
      <c r="A322" t="s">
        <v>436</v>
      </c>
      <c r="B322" s="1">
        <v>44767</v>
      </c>
      <c r="C322">
        <v>2022</v>
      </c>
      <c r="D322" t="s">
        <v>122</v>
      </c>
      <c r="E322" t="s">
        <v>123</v>
      </c>
      <c r="F322" t="s">
        <v>64</v>
      </c>
      <c r="G322" t="s">
        <v>124</v>
      </c>
      <c r="H322" t="s">
        <v>125</v>
      </c>
      <c r="I322" t="s">
        <v>126</v>
      </c>
      <c r="J322" t="s">
        <v>28</v>
      </c>
      <c r="K322" t="s">
        <v>60</v>
      </c>
      <c r="L322" t="s">
        <v>30</v>
      </c>
      <c r="M322">
        <v>3</v>
      </c>
      <c r="N322">
        <v>79.989999999999995</v>
      </c>
      <c r="O322">
        <v>239.97</v>
      </c>
      <c r="P322">
        <v>0</v>
      </c>
      <c r="Q322">
        <v>0</v>
      </c>
      <c r="R322">
        <v>239.97</v>
      </c>
      <c r="S322">
        <v>19.2</v>
      </c>
      <c r="T322">
        <v>259.17</v>
      </c>
      <c r="U322" t="s">
        <v>39</v>
      </c>
    </row>
    <row r="323" spans="1:21" x14ac:dyDescent="0.35">
      <c r="A323" t="s">
        <v>437</v>
      </c>
      <c r="B323" s="1">
        <v>44771</v>
      </c>
      <c r="C323">
        <v>2022</v>
      </c>
      <c r="D323" t="s">
        <v>51</v>
      </c>
      <c r="E323" t="s">
        <v>52</v>
      </c>
      <c r="F323" t="s">
        <v>24</v>
      </c>
      <c r="G323" t="s">
        <v>53</v>
      </c>
      <c r="H323" t="s">
        <v>100</v>
      </c>
      <c r="I323" t="s">
        <v>101</v>
      </c>
      <c r="J323" t="s">
        <v>47</v>
      </c>
      <c r="K323" t="s">
        <v>60</v>
      </c>
      <c r="L323" t="s">
        <v>38</v>
      </c>
      <c r="M323">
        <v>14</v>
      </c>
      <c r="N323">
        <v>29.99</v>
      </c>
      <c r="O323">
        <v>419.86</v>
      </c>
      <c r="P323">
        <v>0.13</v>
      </c>
      <c r="Q323">
        <v>54.58</v>
      </c>
      <c r="R323">
        <v>365.28</v>
      </c>
      <c r="S323">
        <v>29.22</v>
      </c>
      <c r="T323">
        <v>0</v>
      </c>
      <c r="U323" t="s">
        <v>31</v>
      </c>
    </row>
    <row r="324" spans="1:21" x14ac:dyDescent="0.35">
      <c r="A324" t="s">
        <v>438</v>
      </c>
      <c r="B324" s="1">
        <v>44772</v>
      </c>
      <c r="C324">
        <v>2022</v>
      </c>
      <c r="D324" t="s">
        <v>122</v>
      </c>
      <c r="E324" t="s">
        <v>123</v>
      </c>
      <c r="F324" t="s">
        <v>64</v>
      </c>
      <c r="G324" t="s">
        <v>124</v>
      </c>
      <c r="H324" t="s">
        <v>26</v>
      </c>
      <c r="I324" t="s">
        <v>27</v>
      </c>
      <c r="J324" t="s">
        <v>28</v>
      </c>
      <c r="K324" t="s">
        <v>29</v>
      </c>
      <c r="L324" t="s">
        <v>38</v>
      </c>
      <c r="M324">
        <v>7</v>
      </c>
      <c r="N324">
        <v>8.99</v>
      </c>
      <c r="O324">
        <v>62.93</v>
      </c>
      <c r="P324">
        <v>0.08</v>
      </c>
      <c r="Q324">
        <v>5.03</v>
      </c>
      <c r="R324">
        <v>57.9</v>
      </c>
      <c r="S324">
        <v>4.63</v>
      </c>
      <c r="T324">
        <v>62.53</v>
      </c>
      <c r="U324" t="s">
        <v>111</v>
      </c>
    </row>
    <row r="325" spans="1:21" x14ac:dyDescent="0.35">
      <c r="A325" t="s">
        <v>439</v>
      </c>
      <c r="B325" s="1">
        <v>44779</v>
      </c>
      <c r="C325">
        <v>2022</v>
      </c>
      <c r="D325" t="s">
        <v>62</v>
      </c>
      <c r="E325" t="s">
        <v>63</v>
      </c>
      <c r="F325" t="s">
        <v>64</v>
      </c>
      <c r="G325" t="s">
        <v>65</v>
      </c>
      <c r="H325" t="s">
        <v>71</v>
      </c>
      <c r="I325" t="s">
        <v>72</v>
      </c>
      <c r="J325" t="s">
        <v>47</v>
      </c>
      <c r="K325" t="s">
        <v>68</v>
      </c>
      <c r="L325" t="s">
        <v>49</v>
      </c>
      <c r="M325">
        <v>22</v>
      </c>
      <c r="N325">
        <v>1199.99</v>
      </c>
      <c r="O325">
        <v>26399.78</v>
      </c>
      <c r="P325">
        <v>0.08</v>
      </c>
      <c r="Q325">
        <v>2111.98</v>
      </c>
      <c r="R325">
        <v>24287.8</v>
      </c>
      <c r="S325">
        <v>1943.02</v>
      </c>
      <c r="T325">
        <v>26230.82</v>
      </c>
      <c r="U325" t="s">
        <v>39</v>
      </c>
    </row>
    <row r="326" spans="1:21" x14ac:dyDescent="0.35">
      <c r="A326" t="s">
        <v>440</v>
      </c>
      <c r="B326" s="1">
        <v>44781</v>
      </c>
      <c r="C326">
        <v>2022</v>
      </c>
      <c r="D326" t="s">
        <v>91</v>
      </c>
      <c r="E326" t="s">
        <v>92</v>
      </c>
      <c r="F326" t="s">
        <v>24</v>
      </c>
      <c r="G326" t="s">
        <v>93</v>
      </c>
      <c r="H326" t="s">
        <v>145</v>
      </c>
      <c r="I326" t="s">
        <v>146</v>
      </c>
      <c r="J326" t="s">
        <v>47</v>
      </c>
      <c r="K326" t="s">
        <v>60</v>
      </c>
      <c r="L326" t="s">
        <v>69</v>
      </c>
      <c r="M326">
        <v>19</v>
      </c>
      <c r="N326">
        <v>129.99</v>
      </c>
      <c r="O326">
        <v>2469.81</v>
      </c>
      <c r="P326">
        <v>0.05</v>
      </c>
      <c r="Q326">
        <v>123.49</v>
      </c>
      <c r="R326">
        <v>2346.3200000000002</v>
      </c>
      <c r="S326">
        <v>187.71</v>
      </c>
      <c r="T326">
        <v>2534.0300000000002</v>
      </c>
      <c r="U326" t="s">
        <v>39</v>
      </c>
    </row>
    <row r="327" spans="1:21" x14ac:dyDescent="0.35">
      <c r="A327" t="s">
        <v>441</v>
      </c>
      <c r="B327" s="1">
        <v>44783</v>
      </c>
      <c r="C327">
        <v>2022</v>
      </c>
      <c r="D327" t="s">
        <v>41</v>
      </c>
      <c r="E327" t="s">
        <v>42</v>
      </c>
      <c r="F327" t="s">
        <v>43</v>
      </c>
      <c r="G327" t="s">
        <v>44</v>
      </c>
      <c r="H327" t="s">
        <v>125</v>
      </c>
      <c r="I327" t="s">
        <v>126</v>
      </c>
      <c r="J327" t="s">
        <v>28</v>
      </c>
      <c r="K327" t="s">
        <v>68</v>
      </c>
      <c r="L327" t="s">
        <v>69</v>
      </c>
      <c r="M327">
        <v>3</v>
      </c>
      <c r="N327">
        <v>79.989999999999995</v>
      </c>
      <c r="O327">
        <v>239.97</v>
      </c>
      <c r="P327">
        <v>0</v>
      </c>
      <c r="Q327">
        <v>0</v>
      </c>
      <c r="R327">
        <v>239.97</v>
      </c>
      <c r="S327">
        <v>19.2</v>
      </c>
      <c r="T327">
        <v>259.17</v>
      </c>
      <c r="U327" t="s">
        <v>39</v>
      </c>
    </row>
    <row r="328" spans="1:21" x14ac:dyDescent="0.35">
      <c r="A328" t="s">
        <v>442</v>
      </c>
      <c r="B328" s="1">
        <v>44786</v>
      </c>
      <c r="C328">
        <v>2022</v>
      </c>
      <c r="D328" t="s">
        <v>75</v>
      </c>
      <c r="E328" t="s">
        <v>76</v>
      </c>
      <c r="F328" t="s">
        <v>64</v>
      </c>
      <c r="G328" t="s">
        <v>77</v>
      </c>
      <c r="H328" t="s">
        <v>84</v>
      </c>
      <c r="I328" t="s">
        <v>85</v>
      </c>
      <c r="J328" t="s">
        <v>47</v>
      </c>
      <c r="K328" t="s">
        <v>68</v>
      </c>
      <c r="L328" t="s">
        <v>73</v>
      </c>
      <c r="M328">
        <v>15</v>
      </c>
      <c r="N328">
        <v>249.99</v>
      </c>
      <c r="O328">
        <v>3749.85</v>
      </c>
      <c r="P328">
        <v>0.05</v>
      </c>
      <c r="Q328">
        <v>187.49</v>
      </c>
      <c r="R328">
        <v>3562.36</v>
      </c>
      <c r="S328">
        <v>284.99</v>
      </c>
      <c r="T328">
        <v>3847.35</v>
      </c>
      <c r="U328" t="s">
        <v>111</v>
      </c>
    </row>
    <row r="329" spans="1:21" x14ac:dyDescent="0.35">
      <c r="A329" t="s">
        <v>443</v>
      </c>
      <c r="B329" s="1">
        <v>44787</v>
      </c>
      <c r="C329">
        <v>2022</v>
      </c>
      <c r="D329" t="s">
        <v>91</v>
      </c>
      <c r="E329" t="s">
        <v>92</v>
      </c>
      <c r="F329" t="s">
        <v>24</v>
      </c>
      <c r="G329" t="s">
        <v>93</v>
      </c>
      <c r="H329" t="s">
        <v>94</v>
      </c>
      <c r="I329" t="s">
        <v>95</v>
      </c>
      <c r="J329" t="s">
        <v>56</v>
      </c>
      <c r="K329" t="s">
        <v>48</v>
      </c>
      <c r="L329" t="s">
        <v>69</v>
      </c>
      <c r="M329">
        <v>1</v>
      </c>
      <c r="N329">
        <v>349.99</v>
      </c>
      <c r="O329">
        <v>349.99</v>
      </c>
      <c r="P329">
        <v>0</v>
      </c>
      <c r="Q329">
        <v>0</v>
      </c>
      <c r="R329">
        <v>349.99</v>
      </c>
      <c r="S329">
        <v>28</v>
      </c>
      <c r="T329">
        <v>377.99</v>
      </c>
      <c r="U329" t="s">
        <v>39</v>
      </c>
    </row>
    <row r="330" spans="1:21" x14ac:dyDescent="0.35">
      <c r="A330" t="s">
        <v>444</v>
      </c>
      <c r="B330" s="1">
        <v>44789</v>
      </c>
      <c r="C330">
        <v>2022</v>
      </c>
      <c r="D330" t="s">
        <v>33</v>
      </c>
      <c r="E330" t="s">
        <v>34</v>
      </c>
      <c r="F330" t="s">
        <v>35</v>
      </c>
      <c r="G330" t="s">
        <v>36</v>
      </c>
      <c r="H330" t="s">
        <v>94</v>
      </c>
      <c r="I330" t="s">
        <v>95</v>
      </c>
      <c r="J330" t="s">
        <v>56</v>
      </c>
      <c r="K330" t="s">
        <v>29</v>
      </c>
      <c r="L330" t="s">
        <v>69</v>
      </c>
      <c r="M330">
        <v>6</v>
      </c>
      <c r="N330">
        <v>349.99</v>
      </c>
      <c r="O330">
        <v>2099.94</v>
      </c>
      <c r="P330">
        <v>0</v>
      </c>
      <c r="Q330">
        <v>0</v>
      </c>
      <c r="R330">
        <v>2099.94</v>
      </c>
      <c r="S330">
        <v>168</v>
      </c>
      <c r="T330">
        <v>2267.94</v>
      </c>
      <c r="U330" t="s">
        <v>39</v>
      </c>
    </row>
    <row r="331" spans="1:21" x14ac:dyDescent="0.35">
      <c r="A331" t="s">
        <v>445</v>
      </c>
      <c r="B331" s="1">
        <v>44791</v>
      </c>
      <c r="C331">
        <v>2022</v>
      </c>
      <c r="D331" t="s">
        <v>97</v>
      </c>
      <c r="E331" t="s">
        <v>98</v>
      </c>
      <c r="F331" t="s">
        <v>35</v>
      </c>
      <c r="G331" t="s">
        <v>99</v>
      </c>
      <c r="H331" t="s">
        <v>145</v>
      </c>
      <c r="I331" t="s">
        <v>146</v>
      </c>
      <c r="J331" t="s">
        <v>47</v>
      </c>
      <c r="K331" t="s">
        <v>29</v>
      </c>
      <c r="L331" t="s">
        <v>38</v>
      </c>
      <c r="M331">
        <v>10</v>
      </c>
      <c r="N331">
        <v>129.99</v>
      </c>
      <c r="O331">
        <v>1299.9000000000001</v>
      </c>
      <c r="P331">
        <v>0.13</v>
      </c>
      <c r="Q331">
        <v>168.99</v>
      </c>
      <c r="R331">
        <v>1130.9100000000001</v>
      </c>
      <c r="S331">
        <v>90.47</v>
      </c>
      <c r="T331">
        <v>0</v>
      </c>
      <c r="U331" t="s">
        <v>31</v>
      </c>
    </row>
    <row r="332" spans="1:21" x14ac:dyDescent="0.35">
      <c r="A332" t="s">
        <v>446</v>
      </c>
      <c r="B332" s="1">
        <v>44791</v>
      </c>
      <c r="C332">
        <v>2022</v>
      </c>
      <c r="D332" t="s">
        <v>107</v>
      </c>
      <c r="E332" t="s">
        <v>108</v>
      </c>
      <c r="F332" t="s">
        <v>35</v>
      </c>
      <c r="G332" t="s">
        <v>109</v>
      </c>
      <c r="H332" t="s">
        <v>58</v>
      </c>
      <c r="I332" t="s">
        <v>59</v>
      </c>
      <c r="J332" t="s">
        <v>56</v>
      </c>
      <c r="K332" t="s">
        <v>60</v>
      </c>
      <c r="L332" t="s">
        <v>73</v>
      </c>
      <c r="M332">
        <v>16</v>
      </c>
      <c r="N332">
        <v>599.99</v>
      </c>
      <c r="O332">
        <v>9599.84</v>
      </c>
      <c r="P332">
        <v>0.05</v>
      </c>
      <c r="Q332">
        <v>479.99</v>
      </c>
      <c r="R332">
        <v>9119.85</v>
      </c>
      <c r="S332">
        <v>729.59</v>
      </c>
      <c r="T332">
        <v>9849.44</v>
      </c>
      <c r="U332" t="s">
        <v>111</v>
      </c>
    </row>
    <row r="333" spans="1:21" x14ac:dyDescent="0.35">
      <c r="A333" t="s">
        <v>447</v>
      </c>
      <c r="B333" s="1">
        <v>44792</v>
      </c>
      <c r="C333">
        <v>2022</v>
      </c>
      <c r="D333" t="s">
        <v>33</v>
      </c>
      <c r="E333" t="s">
        <v>34</v>
      </c>
      <c r="F333" t="s">
        <v>35</v>
      </c>
      <c r="G333" t="s">
        <v>36</v>
      </c>
      <c r="H333" t="s">
        <v>104</v>
      </c>
      <c r="I333" t="s">
        <v>105</v>
      </c>
      <c r="J333" t="s">
        <v>47</v>
      </c>
      <c r="K333" t="s">
        <v>37</v>
      </c>
      <c r="L333" t="s">
        <v>69</v>
      </c>
      <c r="M333">
        <v>9</v>
      </c>
      <c r="N333">
        <v>479.99</v>
      </c>
      <c r="O333">
        <v>4319.91</v>
      </c>
      <c r="P333">
        <v>0</v>
      </c>
      <c r="Q333">
        <v>0</v>
      </c>
      <c r="R333">
        <v>4319.91</v>
      </c>
      <c r="S333">
        <v>345.59</v>
      </c>
      <c r="T333">
        <v>4665.5</v>
      </c>
      <c r="U333" t="s">
        <v>39</v>
      </c>
    </row>
    <row r="334" spans="1:21" x14ac:dyDescent="0.35">
      <c r="A334" t="s">
        <v>448</v>
      </c>
      <c r="B334" s="1">
        <v>44794</v>
      </c>
      <c r="C334">
        <v>2022</v>
      </c>
      <c r="D334" t="s">
        <v>33</v>
      </c>
      <c r="E334" t="s">
        <v>34</v>
      </c>
      <c r="F334" t="s">
        <v>35</v>
      </c>
      <c r="G334" t="s">
        <v>36</v>
      </c>
      <c r="H334" t="s">
        <v>71</v>
      </c>
      <c r="I334" t="s">
        <v>72</v>
      </c>
      <c r="J334" t="s">
        <v>47</v>
      </c>
      <c r="K334" t="s">
        <v>48</v>
      </c>
      <c r="L334" t="s">
        <v>73</v>
      </c>
      <c r="M334">
        <v>14</v>
      </c>
      <c r="N334">
        <v>1199.99</v>
      </c>
      <c r="O334">
        <v>16799.86</v>
      </c>
      <c r="P334">
        <v>0.05</v>
      </c>
      <c r="Q334">
        <v>839.99</v>
      </c>
      <c r="R334">
        <v>15959.87</v>
      </c>
      <c r="S334">
        <v>1276.79</v>
      </c>
      <c r="T334">
        <v>17236.66</v>
      </c>
      <c r="U334" t="s">
        <v>39</v>
      </c>
    </row>
    <row r="335" spans="1:21" x14ac:dyDescent="0.35">
      <c r="A335" t="s">
        <v>449</v>
      </c>
      <c r="B335" s="1">
        <v>44796</v>
      </c>
      <c r="C335">
        <v>2022</v>
      </c>
      <c r="D335" t="s">
        <v>22</v>
      </c>
      <c r="E335" t="s">
        <v>23</v>
      </c>
      <c r="F335" t="s">
        <v>24</v>
      </c>
      <c r="G335" t="s">
        <v>25</v>
      </c>
      <c r="H335" t="s">
        <v>208</v>
      </c>
      <c r="I335" t="s">
        <v>209</v>
      </c>
      <c r="J335" t="s">
        <v>47</v>
      </c>
      <c r="K335" t="s">
        <v>29</v>
      </c>
      <c r="L335" t="s">
        <v>69</v>
      </c>
      <c r="M335">
        <v>25</v>
      </c>
      <c r="N335">
        <v>49.99</v>
      </c>
      <c r="O335">
        <v>1249.75</v>
      </c>
      <c r="P335">
        <v>0.08</v>
      </c>
      <c r="Q335">
        <v>99.98</v>
      </c>
      <c r="R335">
        <v>1149.77</v>
      </c>
      <c r="S335">
        <v>91.98</v>
      </c>
      <c r="T335">
        <v>1241.75</v>
      </c>
      <c r="U335" t="s">
        <v>111</v>
      </c>
    </row>
    <row r="336" spans="1:21" x14ac:dyDescent="0.35">
      <c r="A336" t="s">
        <v>450</v>
      </c>
      <c r="B336" s="1">
        <v>44798</v>
      </c>
      <c r="C336">
        <v>2022</v>
      </c>
      <c r="D336" t="s">
        <v>91</v>
      </c>
      <c r="E336" t="s">
        <v>92</v>
      </c>
      <c r="F336" t="s">
        <v>24</v>
      </c>
      <c r="G336" t="s">
        <v>93</v>
      </c>
      <c r="H336" t="s">
        <v>45</v>
      </c>
      <c r="I336" t="s">
        <v>46</v>
      </c>
      <c r="J336" t="s">
        <v>47</v>
      </c>
      <c r="K336" t="s">
        <v>37</v>
      </c>
      <c r="L336" t="s">
        <v>30</v>
      </c>
      <c r="M336">
        <v>10</v>
      </c>
      <c r="N336">
        <v>89.99</v>
      </c>
      <c r="O336">
        <v>899.9</v>
      </c>
      <c r="P336">
        <v>0.05</v>
      </c>
      <c r="Q336">
        <v>45</v>
      </c>
      <c r="R336">
        <v>854.9</v>
      </c>
      <c r="S336">
        <v>68.39</v>
      </c>
      <c r="T336">
        <v>923.29</v>
      </c>
      <c r="U336" t="s">
        <v>39</v>
      </c>
    </row>
    <row r="337" spans="1:21" x14ac:dyDescent="0.35">
      <c r="A337" t="s">
        <v>451</v>
      </c>
      <c r="B337" s="1">
        <v>44800</v>
      </c>
      <c r="C337">
        <v>2022</v>
      </c>
      <c r="D337" t="s">
        <v>81</v>
      </c>
      <c r="E337" t="s">
        <v>82</v>
      </c>
      <c r="F337" t="s">
        <v>35</v>
      </c>
      <c r="G337" t="s">
        <v>83</v>
      </c>
      <c r="H337" t="s">
        <v>26</v>
      </c>
      <c r="I337" t="s">
        <v>27</v>
      </c>
      <c r="J337" t="s">
        <v>28</v>
      </c>
      <c r="K337" t="s">
        <v>29</v>
      </c>
      <c r="L337" t="s">
        <v>69</v>
      </c>
      <c r="M337">
        <v>4</v>
      </c>
      <c r="N337">
        <v>8.99</v>
      </c>
      <c r="O337">
        <v>35.96</v>
      </c>
      <c r="P337">
        <v>0</v>
      </c>
      <c r="Q337">
        <v>0</v>
      </c>
      <c r="R337">
        <v>35.96</v>
      </c>
      <c r="S337">
        <v>2.88</v>
      </c>
      <c r="T337">
        <v>38.840000000000003</v>
      </c>
      <c r="U337" t="s">
        <v>111</v>
      </c>
    </row>
    <row r="338" spans="1:21" x14ac:dyDescent="0.35">
      <c r="A338" t="s">
        <v>452</v>
      </c>
      <c r="B338" s="1">
        <v>44802</v>
      </c>
      <c r="C338">
        <v>2022</v>
      </c>
      <c r="D338" t="s">
        <v>87</v>
      </c>
      <c r="E338" t="s">
        <v>88</v>
      </c>
      <c r="F338" t="s">
        <v>24</v>
      </c>
      <c r="G338" t="s">
        <v>89</v>
      </c>
      <c r="H338" t="s">
        <v>54</v>
      </c>
      <c r="I338" t="s">
        <v>55</v>
      </c>
      <c r="J338" t="s">
        <v>56</v>
      </c>
      <c r="K338" t="s">
        <v>48</v>
      </c>
      <c r="L338" t="s">
        <v>30</v>
      </c>
      <c r="M338">
        <v>13</v>
      </c>
      <c r="N338">
        <v>39.99</v>
      </c>
      <c r="O338">
        <v>519.87</v>
      </c>
      <c r="P338">
        <v>0.05</v>
      </c>
      <c r="Q338">
        <v>25.99</v>
      </c>
      <c r="R338">
        <v>493.88</v>
      </c>
      <c r="S338">
        <v>39.51</v>
      </c>
      <c r="T338">
        <v>533.39</v>
      </c>
      <c r="U338" t="s">
        <v>39</v>
      </c>
    </row>
    <row r="339" spans="1:21" x14ac:dyDescent="0.35">
      <c r="A339" t="s">
        <v>453</v>
      </c>
      <c r="B339" s="1">
        <v>44808</v>
      </c>
      <c r="C339">
        <v>2022</v>
      </c>
      <c r="D339" t="s">
        <v>186</v>
      </c>
      <c r="E339" t="s">
        <v>187</v>
      </c>
      <c r="F339" t="s">
        <v>43</v>
      </c>
      <c r="G339" t="s">
        <v>188</v>
      </c>
      <c r="H339" t="s">
        <v>100</v>
      </c>
      <c r="I339" t="s">
        <v>101</v>
      </c>
      <c r="J339" t="s">
        <v>47</v>
      </c>
      <c r="K339" t="s">
        <v>48</v>
      </c>
      <c r="L339" t="s">
        <v>73</v>
      </c>
      <c r="M339">
        <v>22</v>
      </c>
      <c r="N339">
        <v>29.99</v>
      </c>
      <c r="O339">
        <v>659.78</v>
      </c>
      <c r="P339">
        <v>0.08</v>
      </c>
      <c r="Q339">
        <v>52.78</v>
      </c>
      <c r="R339">
        <v>607</v>
      </c>
      <c r="S339">
        <v>48.56</v>
      </c>
      <c r="T339">
        <v>655.56</v>
      </c>
      <c r="U339" t="s">
        <v>39</v>
      </c>
    </row>
    <row r="340" spans="1:21" x14ac:dyDescent="0.35">
      <c r="A340" t="s">
        <v>454</v>
      </c>
      <c r="B340" s="1">
        <v>44808</v>
      </c>
      <c r="C340">
        <v>2022</v>
      </c>
      <c r="D340" t="s">
        <v>186</v>
      </c>
      <c r="E340" t="s">
        <v>187</v>
      </c>
      <c r="F340" t="s">
        <v>43</v>
      </c>
      <c r="G340" t="s">
        <v>188</v>
      </c>
      <c r="H340" t="s">
        <v>66</v>
      </c>
      <c r="I340" t="s">
        <v>67</v>
      </c>
      <c r="J340" t="s">
        <v>56</v>
      </c>
      <c r="K340" t="s">
        <v>29</v>
      </c>
      <c r="L340" t="s">
        <v>49</v>
      </c>
      <c r="M340">
        <v>21</v>
      </c>
      <c r="N340">
        <v>229.99</v>
      </c>
      <c r="O340">
        <v>4829.79</v>
      </c>
      <c r="P340">
        <v>0.08</v>
      </c>
      <c r="Q340">
        <v>386.38</v>
      </c>
      <c r="R340">
        <v>4443.41</v>
      </c>
      <c r="S340">
        <v>355.47</v>
      </c>
      <c r="T340">
        <v>4798.88</v>
      </c>
      <c r="U340" t="s">
        <v>39</v>
      </c>
    </row>
    <row r="341" spans="1:21" x14ac:dyDescent="0.35">
      <c r="A341" t="s">
        <v>455</v>
      </c>
      <c r="B341" s="1">
        <v>44809</v>
      </c>
      <c r="C341">
        <v>2022</v>
      </c>
      <c r="D341" t="s">
        <v>33</v>
      </c>
      <c r="E341" t="s">
        <v>34</v>
      </c>
      <c r="F341" t="s">
        <v>35</v>
      </c>
      <c r="G341" t="s">
        <v>36</v>
      </c>
      <c r="H341" t="s">
        <v>128</v>
      </c>
      <c r="I341" t="s">
        <v>129</v>
      </c>
      <c r="J341" t="s">
        <v>47</v>
      </c>
      <c r="K341" t="s">
        <v>68</v>
      </c>
      <c r="L341" t="s">
        <v>73</v>
      </c>
      <c r="M341">
        <v>14</v>
      </c>
      <c r="N341">
        <v>399.99</v>
      </c>
      <c r="O341">
        <v>5599.86</v>
      </c>
      <c r="P341">
        <v>0.05</v>
      </c>
      <c r="Q341">
        <v>279.99</v>
      </c>
      <c r="R341">
        <v>5319.87</v>
      </c>
      <c r="S341">
        <v>425.59</v>
      </c>
      <c r="T341">
        <v>5745.46</v>
      </c>
      <c r="U341" t="s">
        <v>39</v>
      </c>
    </row>
    <row r="342" spans="1:21" x14ac:dyDescent="0.35">
      <c r="A342" t="s">
        <v>456</v>
      </c>
      <c r="B342" s="1">
        <v>44810</v>
      </c>
      <c r="C342">
        <v>2022</v>
      </c>
      <c r="D342" t="s">
        <v>51</v>
      </c>
      <c r="E342" t="s">
        <v>52</v>
      </c>
      <c r="F342" t="s">
        <v>24</v>
      </c>
      <c r="G342" t="s">
        <v>53</v>
      </c>
      <c r="H342" t="s">
        <v>26</v>
      </c>
      <c r="I342" t="s">
        <v>27</v>
      </c>
      <c r="J342" t="s">
        <v>28</v>
      </c>
      <c r="K342" t="s">
        <v>29</v>
      </c>
      <c r="L342" t="s">
        <v>73</v>
      </c>
      <c r="M342">
        <v>25</v>
      </c>
      <c r="N342">
        <v>8.99</v>
      </c>
      <c r="O342">
        <v>224.75</v>
      </c>
      <c r="P342">
        <v>0.08</v>
      </c>
      <c r="Q342">
        <v>17.98</v>
      </c>
      <c r="R342">
        <v>206.77</v>
      </c>
      <c r="S342">
        <v>16.54</v>
      </c>
      <c r="T342">
        <v>223.31</v>
      </c>
      <c r="U342" t="s">
        <v>39</v>
      </c>
    </row>
    <row r="343" spans="1:21" x14ac:dyDescent="0.35">
      <c r="A343" t="s">
        <v>457</v>
      </c>
      <c r="B343" s="1">
        <v>44813</v>
      </c>
      <c r="C343">
        <v>2022</v>
      </c>
      <c r="D343" t="s">
        <v>41</v>
      </c>
      <c r="E343" t="s">
        <v>42</v>
      </c>
      <c r="F343" t="s">
        <v>43</v>
      </c>
      <c r="G343" t="s">
        <v>44</v>
      </c>
      <c r="H343" t="s">
        <v>71</v>
      </c>
      <c r="I343" t="s">
        <v>72</v>
      </c>
      <c r="J343" t="s">
        <v>47</v>
      </c>
      <c r="K343" t="s">
        <v>60</v>
      </c>
      <c r="L343" t="s">
        <v>38</v>
      </c>
      <c r="M343">
        <v>4</v>
      </c>
      <c r="N343">
        <v>1199.99</v>
      </c>
      <c r="O343">
        <v>4799.96</v>
      </c>
      <c r="P343">
        <v>0.08</v>
      </c>
      <c r="Q343">
        <v>384</v>
      </c>
      <c r="R343">
        <v>4415.96</v>
      </c>
      <c r="S343">
        <v>353.28</v>
      </c>
      <c r="T343">
        <v>4769.24</v>
      </c>
      <c r="U343" t="s">
        <v>111</v>
      </c>
    </row>
    <row r="344" spans="1:21" x14ac:dyDescent="0.35">
      <c r="A344" t="s">
        <v>458</v>
      </c>
      <c r="B344" s="1">
        <v>44813</v>
      </c>
      <c r="C344">
        <v>2022</v>
      </c>
      <c r="D344" t="s">
        <v>41</v>
      </c>
      <c r="E344" t="s">
        <v>42</v>
      </c>
      <c r="F344" t="s">
        <v>43</v>
      </c>
      <c r="G344" t="s">
        <v>44</v>
      </c>
      <c r="H344" t="s">
        <v>78</v>
      </c>
      <c r="I344" t="s">
        <v>79</v>
      </c>
      <c r="J344" t="s">
        <v>28</v>
      </c>
      <c r="K344" t="s">
        <v>29</v>
      </c>
      <c r="L344" t="s">
        <v>30</v>
      </c>
      <c r="M344">
        <v>23</v>
      </c>
      <c r="N344">
        <v>5.99</v>
      </c>
      <c r="O344">
        <v>137.77000000000001</v>
      </c>
      <c r="P344">
        <v>0.08</v>
      </c>
      <c r="Q344">
        <v>11.02</v>
      </c>
      <c r="R344">
        <v>126.75</v>
      </c>
      <c r="S344">
        <v>10.14</v>
      </c>
      <c r="T344">
        <v>136.88999999999999</v>
      </c>
      <c r="U344" t="s">
        <v>39</v>
      </c>
    </row>
    <row r="345" spans="1:21" x14ac:dyDescent="0.35">
      <c r="A345" t="s">
        <v>459</v>
      </c>
      <c r="B345" s="1">
        <v>44816</v>
      </c>
      <c r="C345">
        <v>2022</v>
      </c>
      <c r="D345" t="s">
        <v>51</v>
      </c>
      <c r="E345" t="s">
        <v>52</v>
      </c>
      <c r="F345" t="s">
        <v>24</v>
      </c>
      <c r="G345" t="s">
        <v>53</v>
      </c>
      <c r="H345" t="s">
        <v>66</v>
      </c>
      <c r="I345" t="s">
        <v>67</v>
      </c>
      <c r="J345" t="s">
        <v>56</v>
      </c>
      <c r="K345" t="s">
        <v>37</v>
      </c>
      <c r="L345" t="s">
        <v>49</v>
      </c>
      <c r="M345">
        <v>1</v>
      </c>
      <c r="N345">
        <v>229.99</v>
      </c>
      <c r="O345">
        <v>229.99</v>
      </c>
      <c r="P345">
        <v>0</v>
      </c>
      <c r="Q345">
        <v>0</v>
      </c>
      <c r="R345">
        <v>229.99</v>
      </c>
      <c r="S345">
        <v>18.399999999999999</v>
      </c>
      <c r="T345">
        <v>248.39</v>
      </c>
      <c r="U345" t="s">
        <v>39</v>
      </c>
    </row>
    <row r="346" spans="1:21" x14ac:dyDescent="0.35">
      <c r="A346" t="s">
        <v>460</v>
      </c>
      <c r="B346" s="1">
        <v>44817</v>
      </c>
      <c r="C346">
        <v>2022</v>
      </c>
      <c r="D346" t="s">
        <v>186</v>
      </c>
      <c r="E346" t="s">
        <v>187</v>
      </c>
      <c r="F346" t="s">
        <v>43</v>
      </c>
      <c r="G346" t="s">
        <v>188</v>
      </c>
      <c r="H346" t="s">
        <v>66</v>
      </c>
      <c r="I346" t="s">
        <v>67</v>
      </c>
      <c r="J346" t="s">
        <v>56</v>
      </c>
      <c r="K346" t="s">
        <v>60</v>
      </c>
      <c r="L346" t="s">
        <v>69</v>
      </c>
      <c r="M346">
        <v>27</v>
      </c>
      <c r="N346">
        <v>229.99</v>
      </c>
      <c r="O346">
        <v>6209.73</v>
      </c>
      <c r="P346">
        <v>0.08</v>
      </c>
      <c r="Q346">
        <v>496.78</v>
      </c>
      <c r="R346">
        <v>5712.95</v>
      </c>
      <c r="S346">
        <v>457.04</v>
      </c>
      <c r="T346">
        <v>6169.99</v>
      </c>
      <c r="U346" t="s">
        <v>39</v>
      </c>
    </row>
    <row r="347" spans="1:21" x14ac:dyDescent="0.35">
      <c r="A347" t="s">
        <v>461</v>
      </c>
      <c r="B347" s="1">
        <v>44817</v>
      </c>
      <c r="C347">
        <v>2022</v>
      </c>
      <c r="D347" t="s">
        <v>142</v>
      </c>
      <c r="E347" t="s">
        <v>143</v>
      </c>
      <c r="F347" t="s">
        <v>43</v>
      </c>
      <c r="G347" t="s">
        <v>144</v>
      </c>
      <c r="H347" t="s">
        <v>58</v>
      </c>
      <c r="I347" t="s">
        <v>59</v>
      </c>
      <c r="J347" t="s">
        <v>56</v>
      </c>
      <c r="K347" t="s">
        <v>68</v>
      </c>
      <c r="L347" t="s">
        <v>69</v>
      </c>
      <c r="M347">
        <v>6</v>
      </c>
      <c r="N347">
        <v>599.99</v>
      </c>
      <c r="O347">
        <v>3599.94</v>
      </c>
      <c r="P347">
        <v>0</v>
      </c>
      <c r="Q347">
        <v>0</v>
      </c>
      <c r="R347">
        <v>3599.94</v>
      </c>
      <c r="S347">
        <v>288</v>
      </c>
      <c r="T347">
        <v>3887.94</v>
      </c>
      <c r="U347" t="s">
        <v>111</v>
      </c>
    </row>
    <row r="348" spans="1:21" x14ac:dyDescent="0.35">
      <c r="A348" t="s">
        <v>462</v>
      </c>
      <c r="B348" s="1">
        <v>44819</v>
      </c>
      <c r="C348">
        <v>2022</v>
      </c>
      <c r="D348" t="s">
        <v>62</v>
      </c>
      <c r="E348" t="s">
        <v>63</v>
      </c>
      <c r="F348" t="s">
        <v>64</v>
      </c>
      <c r="G348" t="s">
        <v>65</v>
      </c>
      <c r="H348" t="s">
        <v>208</v>
      </c>
      <c r="I348" t="s">
        <v>209</v>
      </c>
      <c r="J348" t="s">
        <v>47</v>
      </c>
      <c r="K348" t="s">
        <v>37</v>
      </c>
      <c r="L348" t="s">
        <v>30</v>
      </c>
      <c r="M348">
        <v>3</v>
      </c>
      <c r="N348">
        <v>49.99</v>
      </c>
      <c r="O348">
        <v>149.97</v>
      </c>
      <c r="P348">
        <v>0</v>
      </c>
      <c r="Q348">
        <v>0</v>
      </c>
      <c r="R348">
        <v>149.97</v>
      </c>
      <c r="S348">
        <v>12</v>
      </c>
      <c r="T348">
        <v>0</v>
      </c>
      <c r="U348" t="s">
        <v>31</v>
      </c>
    </row>
    <row r="349" spans="1:21" x14ac:dyDescent="0.35">
      <c r="A349" t="s">
        <v>463</v>
      </c>
      <c r="B349" s="1">
        <v>44820</v>
      </c>
      <c r="C349">
        <v>2022</v>
      </c>
      <c r="D349" t="s">
        <v>41</v>
      </c>
      <c r="E349" t="s">
        <v>42</v>
      </c>
      <c r="F349" t="s">
        <v>43</v>
      </c>
      <c r="G349" t="s">
        <v>44</v>
      </c>
      <c r="H349" t="s">
        <v>71</v>
      </c>
      <c r="I349" t="s">
        <v>72</v>
      </c>
      <c r="J349" t="s">
        <v>47</v>
      </c>
      <c r="K349" t="s">
        <v>68</v>
      </c>
      <c r="L349" t="s">
        <v>49</v>
      </c>
      <c r="M349">
        <v>3</v>
      </c>
      <c r="N349">
        <v>1199.99</v>
      </c>
      <c r="O349">
        <v>3599.97</v>
      </c>
      <c r="P349">
        <v>0</v>
      </c>
      <c r="Q349">
        <v>0</v>
      </c>
      <c r="R349">
        <v>3599.97</v>
      </c>
      <c r="S349">
        <v>288</v>
      </c>
      <c r="T349">
        <v>3887.97</v>
      </c>
      <c r="U349" t="s">
        <v>111</v>
      </c>
    </row>
    <row r="350" spans="1:21" x14ac:dyDescent="0.35">
      <c r="A350" t="s">
        <v>464</v>
      </c>
      <c r="B350" s="1">
        <v>44824</v>
      </c>
      <c r="C350">
        <v>2022</v>
      </c>
      <c r="D350" t="s">
        <v>186</v>
      </c>
      <c r="E350" t="s">
        <v>187</v>
      </c>
      <c r="F350" t="s">
        <v>43</v>
      </c>
      <c r="G350" t="s">
        <v>188</v>
      </c>
      <c r="H350" t="s">
        <v>128</v>
      </c>
      <c r="I350" t="s">
        <v>129</v>
      </c>
      <c r="J350" t="s">
        <v>47</v>
      </c>
      <c r="K350" t="s">
        <v>60</v>
      </c>
      <c r="L350" t="s">
        <v>38</v>
      </c>
      <c r="M350">
        <v>7</v>
      </c>
      <c r="N350">
        <v>399.99</v>
      </c>
      <c r="O350">
        <v>2799.93</v>
      </c>
      <c r="P350">
        <v>0.08</v>
      </c>
      <c r="Q350">
        <v>223.99</v>
      </c>
      <c r="R350">
        <v>2575.94</v>
      </c>
      <c r="S350">
        <v>206.08</v>
      </c>
      <c r="T350">
        <v>2782.02</v>
      </c>
      <c r="U350" t="s">
        <v>39</v>
      </c>
    </row>
    <row r="351" spans="1:21" x14ac:dyDescent="0.35">
      <c r="A351" t="s">
        <v>465</v>
      </c>
      <c r="B351" s="1">
        <v>44826</v>
      </c>
      <c r="C351">
        <v>2022</v>
      </c>
      <c r="D351" t="s">
        <v>97</v>
      </c>
      <c r="E351" t="s">
        <v>98</v>
      </c>
      <c r="F351" t="s">
        <v>35</v>
      </c>
      <c r="G351" t="s">
        <v>99</v>
      </c>
      <c r="H351" t="s">
        <v>104</v>
      </c>
      <c r="I351" t="s">
        <v>105</v>
      </c>
      <c r="J351" t="s">
        <v>47</v>
      </c>
      <c r="K351" t="s">
        <v>48</v>
      </c>
      <c r="L351" t="s">
        <v>69</v>
      </c>
      <c r="M351">
        <v>28</v>
      </c>
      <c r="N351">
        <v>479.99</v>
      </c>
      <c r="O351">
        <v>13439.72</v>
      </c>
      <c r="P351">
        <v>0.08</v>
      </c>
      <c r="Q351">
        <v>1075.18</v>
      </c>
      <c r="R351">
        <v>12364.54</v>
      </c>
      <c r="S351">
        <v>989.16</v>
      </c>
      <c r="T351">
        <v>13353.7</v>
      </c>
      <c r="U351" t="s">
        <v>111</v>
      </c>
    </row>
    <row r="352" spans="1:21" x14ac:dyDescent="0.35">
      <c r="A352" t="s">
        <v>466</v>
      </c>
      <c r="B352" s="1">
        <v>44830</v>
      </c>
      <c r="C352">
        <v>2022</v>
      </c>
      <c r="D352" t="s">
        <v>142</v>
      </c>
      <c r="E352" t="s">
        <v>143</v>
      </c>
      <c r="F352" t="s">
        <v>43</v>
      </c>
      <c r="G352" t="s">
        <v>144</v>
      </c>
      <c r="H352" t="s">
        <v>45</v>
      </c>
      <c r="I352" t="s">
        <v>46</v>
      </c>
      <c r="J352" t="s">
        <v>47</v>
      </c>
      <c r="K352" t="s">
        <v>68</v>
      </c>
      <c r="L352" t="s">
        <v>30</v>
      </c>
      <c r="M352">
        <v>6</v>
      </c>
      <c r="N352">
        <v>89.99</v>
      </c>
      <c r="O352">
        <v>539.94000000000005</v>
      </c>
      <c r="P352">
        <v>0</v>
      </c>
      <c r="Q352">
        <v>0</v>
      </c>
      <c r="R352">
        <v>539.94000000000005</v>
      </c>
      <c r="S352">
        <v>43.2</v>
      </c>
      <c r="T352">
        <v>583.14</v>
      </c>
      <c r="U352" t="s">
        <v>39</v>
      </c>
    </row>
    <row r="353" spans="1:21" x14ac:dyDescent="0.35">
      <c r="A353" t="s">
        <v>467</v>
      </c>
      <c r="B353" s="1">
        <v>44830</v>
      </c>
      <c r="C353">
        <v>2022</v>
      </c>
      <c r="D353" t="s">
        <v>97</v>
      </c>
      <c r="E353" t="s">
        <v>98</v>
      </c>
      <c r="F353" t="s">
        <v>35</v>
      </c>
      <c r="G353" t="s">
        <v>99</v>
      </c>
      <c r="H353" t="s">
        <v>125</v>
      </c>
      <c r="I353" t="s">
        <v>126</v>
      </c>
      <c r="J353" t="s">
        <v>28</v>
      </c>
      <c r="K353" t="s">
        <v>37</v>
      </c>
      <c r="L353" t="s">
        <v>38</v>
      </c>
      <c r="M353">
        <v>18</v>
      </c>
      <c r="N353">
        <v>79.989999999999995</v>
      </c>
      <c r="O353">
        <v>1439.82</v>
      </c>
      <c r="P353">
        <v>0.13</v>
      </c>
      <c r="Q353">
        <v>187.18</v>
      </c>
      <c r="R353">
        <v>1252.6400000000001</v>
      </c>
      <c r="S353">
        <v>100.21</v>
      </c>
      <c r="T353">
        <v>1352.85</v>
      </c>
      <c r="U353" t="s">
        <v>111</v>
      </c>
    </row>
    <row r="354" spans="1:21" x14ac:dyDescent="0.35">
      <c r="A354" t="s">
        <v>468</v>
      </c>
      <c r="B354" s="1">
        <v>44831</v>
      </c>
      <c r="C354">
        <v>2022</v>
      </c>
      <c r="D354" t="s">
        <v>51</v>
      </c>
      <c r="E354" t="s">
        <v>52</v>
      </c>
      <c r="F354" t="s">
        <v>24</v>
      </c>
      <c r="G354" t="s">
        <v>53</v>
      </c>
      <c r="H354" t="s">
        <v>208</v>
      </c>
      <c r="I354" t="s">
        <v>209</v>
      </c>
      <c r="J354" t="s">
        <v>47</v>
      </c>
      <c r="K354" t="s">
        <v>68</v>
      </c>
      <c r="L354" t="s">
        <v>73</v>
      </c>
      <c r="M354">
        <v>14</v>
      </c>
      <c r="N354">
        <v>49.99</v>
      </c>
      <c r="O354">
        <v>699.86</v>
      </c>
      <c r="P354">
        <v>0.05</v>
      </c>
      <c r="Q354">
        <v>34.99</v>
      </c>
      <c r="R354">
        <v>664.87</v>
      </c>
      <c r="S354">
        <v>53.19</v>
      </c>
      <c r="T354">
        <v>718.06</v>
      </c>
      <c r="U354" t="s">
        <v>111</v>
      </c>
    </row>
    <row r="355" spans="1:21" x14ac:dyDescent="0.35">
      <c r="A355" t="s">
        <v>469</v>
      </c>
      <c r="B355" s="1">
        <v>44831</v>
      </c>
      <c r="C355">
        <v>2022</v>
      </c>
      <c r="D355" t="s">
        <v>75</v>
      </c>
      <c r="E355" t="s">
        <v>76</v>
      </c>
      <c r="F355" t="s">
        <v>64</v>
      </c>
      <c r="G355" t="s">
        <v>77</v>
      </c>
      <c r="H355" t="s">
        <v>145</v>
      </c>
      <c r="I355" t="s">
        <v>146</v>
      </c>
      <c r="J355" t="s">
        <v>47</v>
      </c>
      <c r="K355" t="s">
        <v>68</v>
      </c>
      <c r="L355" t="s">
        <v>30</v>
      </c>
      <c r="M355">
        <v>3</v>
      </c>
      <c r="N355">
        <v>129.99</v>
      </c>
      <c r="O355">
        <v>389.97</v>
      </c>
      <c r="P355">
        <v>0</v>
      </c>
      <c r="Q355">
        <v>0</v>
      </c>
      <c r="R355">
        <v>389.97</v>
      </c>
      <c r="S355">
        <v>31.2</v>
      </c>
      <c r="T355">
        <v>421.17</v>
      </c>
      <c r="U355" t="s">
        <v>39</v>
      </c>
    </row>
    <row r="356" spans="1:21" x14ac:dyDescent="0.35">
      <c r="A356" t="s">
        <v>470</v>
      </c>
      <c r="B356" s="1">
        <v>44834</v>
      </c>
      <c r="C356">
        <v>2022</v>
      </c>
      <c r="D356" t="s">
        <v>87</v>
      </c>
      <c r="E356" t="s">
        <v>88</v>
      </c>
      <c r="F356" t="s">
        <v>24</v>
      </c>
      <c r="G356" t="s">
        <v>89</v>
      </c>
      <c r="H356" t="s">
        <v>128</v>
      </c>
      <c r="I356" t="s">
        <v>129</v>
      </c>
      <c r="J356" t="s">
        <v>47</v>
      </c>
      <c r="K356" t="s">
        <v>60</v>
      </c>
      <c r="L356" t="s">
        <v>49</v>
      </c>
      <c r="M356">
        <v>15</v>
      </c>
      <c r="N356">
        <v>399.99</v>
      </c>
      <c r="O356">
        <v>5999.85</v>
      </c>
      <c r="P356">
        <v>0.05</v>
      </c>
      <c r="Q356">
        <v>299.99</v>
      </c>
      <c r="R356">
        <v>5699.86</v>
      </c>
      <c r="S356">
        <v>455.99</v>
      </c>
      <c r="T356">
        <v>6155.85</v>
      </c>
      <c r="U356" t="s">
        <v>39</v>
      </c>
    </row>
    <row r="357" spans="1:21" x14ac:dyDescent="0.35">
      <c r="A357" t="s">
        <v>471</v>
      </c>
      <c r="B357" s="1">
        <v>44840</v>
      </c>
      <c r="C357">
        <v>2022</v>
      </c>
      <c r="D357" t="s">
        <v>107</v>
      </c>
      <c r="E357" t="s">
        <v>108</v>
      </c>
      <c r="F357" t="s">
        <v>35</v>
      </c>
      <c r="G357" t="s">
        <v>109</v>
      </c>
      <c r="H357" t="s">
        <v>26</v>
      </c>
      <c r="I357" t="s">
        <v>27</v>
      </c>
      <c r="J357" t="s">
        <v>28</v>
      </c>
      <c r="K357" t="s">
        <v>37</v>
      </c>
      <c r="L357" t="s">
        <v>30</v>
      </c>
      <c r="M357">
        <v>27</v>
      </c>
      <c r="N357">
        <v>8.99</v>
      </c>
      <c r="O357">
        <v>242.73</v>
      </c>
      <c r="P357">
        <v>0.08</v>
      </c>
      <c r="Q357">
        <v>19.420000000000002</v>
      </c>
      <c r="R357">
        <v>223.31</v>
      </c>
      <c r="S357">
        <v>17.86</v>
      </c>
      <c r="T357">
        <v>241.17</v>
      </c>
      <c r="U357" t="s">
        <v>39</v>
      </c>
    </row>
    <row r="358" spans="1:21" x14ac:dyDescent="0.35">
      <c r="A358" t="s">
        <v>472</v>
      </c>
      <c r="B358" s="1">
        <v>44843</v>
      </c>
      <c r="C358">
        <v>2022</v>
      </c>
      <c r="D358" t="s">
        <v>22</v>
      </c>
      <c r="E358" t="s">
        <v>23</v>
      </c>
      <c r="F358" t="s">
        <v>24</v>
      </c>
      <c r="G358" t="s">
        <v>25</v>
      </c>
      <c r="H358" t="s">
        <v>100</v>
      </c>
      <c r="I358" t="s">
        <v>101</v>
      </c>
      <c r="J358" t="s">
        <v>47</v>
      </c>
      <c r="K358" t="s">
        <v>37</v>
      </c>
      <c r="L358" t="s">
        <v>49</v>
      </c>
      <c r="M358">
        <v>3</v>
      </c>
      <c r="N358">
        <v>29.99</v>
      </c>
      <c r="O358">
        <v>89.97</v>
      </c>
      <c r="P358">
        <v>0</v>
      </c>
      <c r="Q358">
        <v>0</v>
      </c>
      <c r="R358">
        <v>89.97</v>
      </c>
      <c r="S358">
        <v>7.2</v>
      </c>
      <c r="T358">
        <v>97.17</v>
      </c>
      <c r="U358" t="s">
        <v>111</v>
      </c>
    </row>
    <row r="359" spans="1:21" x14ac:dyDescent="0.35">
      <c r="A359" t="s">
        <v>473</v>
      </c>
      <c r="B359" s="1">
        <v>44843</v>
      </c>
      <c r="C359">
        <v>2022</v>
      </c>
      <c r="D359" t="s">
        <v>33</v>
      </c>
      <c r="E359" t="s">
        <v>34</v>
      </c>
      <c r="F359" t="s">
        <v>35</v>
      </c>
      <c r="G359" t="s">
        <v>36</v>
      </c>
      <c r="H359" t="s">
        <v>58</v>
      </c>
      <c r="I359" t="s">
        <v>59</v>
      </c>
      <c r="J359" t="s">
        <v>56</v>
      </c>
      <c r="K359" t="s">
        <v>60</v>
      </c>
      <c r="L359" t="s">
        <v>30</v>
      </c>
      <c r="M359">
        <v>25</v>
      </c>
      <c r="N359">
        <v>599.99</v>
      </c>
      <c r="O359">
        <v>14999.75</v>
      </c>
      <c r="P359">
        <v>0.08</v>
      </c>
      <c r="Q359">
        <v>1199.98</v>
      </c>
      <c r="R359">
        <v>13799.77</v>
      </c>
      <c r="S359">
        <v>1103.98</v>
      </c>
      <c r="T359">
        <v>14903.75</v>
      </c>
      <c r="U359" t="s">
        <v>39</v>
      </c>
    </row>
    <row r="360" spans="1:21" x14ac:dyDescent="0.35">
      <c r="A360" t="s">
        <v>474</v>
      </c>
      <c r="B360" s="1">
        <v>44844</v>
      </c>
      <c r="C360">
        <v>2022</v>
      </c>
      <c r="D360" t="s">
        <v>41</v>
      </c>
      <c r="E360" t="s">
        <v>42</v>
      </c>
      <c r="F360" t="s">
        <v>43</v>
      </c>
      <c r="G360" t="s">
        <v>44</v>
      </c>
      <c r="H360" t="s">
        <v>128</v>
      </c>
      <c r="I360" t="s">
        <v>129</v>
      </c>
      <c r="J360" t="s">
        <v>47</v>
      </c>
      <c r="K360" t="s">
        <v>48</v>
      </c>
      <c r="L360" t="s">
        <v>49</v>
      </c>
      <c r="M360">
        <v>29</v>
      </c>
      <c r="N360">
        <v>399.99</v>
      </c>
      <c r="O360">
        <v>11599.71</v>
      </c>
      <c r="P360">
        <v>0.08</v>
      </c>
      <c r="Q360">
        <v>927.98</v>
      </c>
      <c r="R360">
        <v>10671.73</v>
      </c>
      <c r="S360">
        <v>853.74</v>
      </c>
      <c r="T360">
        <v>11525.47</v>
      </c>
      <c r="U360" t="s">
        <v>39</v>
      </c>
    </row>
    <row r="361" spans="1:21" x14ac:dyDescent="0.35">
      <c r="A361" t="s">
        <v>475</v>
      </c>
      <c r="B361" s="1">
        <v>44845</v>
      </c>
      <c r="C361">
        <v>2022</v>
      </c>
      <c r="D361" t="s">
        <v>75</v>
      </c>
      <c r="E361" t="s">
        <v>76</v>
      </c>
      <c r="F361" t="s">
        <v>64</v>
      </c>
      <c r="G361" t="s">
        <v>77</v>
      </c>
      <c r="H361" t="s">
        <v>94</v>
      </c>
      <c r="I361" t="s">
        <v>95</v>
      </c>
      <c r="J361" t="s">
        <v>56</v>
      </c>
      <c r="K361" t="s">
        <v>48</v>
      </c>
      <c r="L361" t="s">
        <v>73</v>
      </c>
      <c r="M361">
        <v>27</v>
      </c>
      <c r="N361">
        <v>349.99</v>
      </c>
      <c r="O361">
        <v>9449.73</v>
      </c>
      <c r="P361">
        <v>0.08</v>
      </c>
      <c r="Q361">
        <v>755.98</v>
      </c>
      <c r="R361">
        <v>8693.75</v>
      </c>
      <c r="S361">
        <v>695.5</v>
      </c>
      <c r="T361">
        <v>9389.25</v>
      </c>
      <c r="U361" t="s">
        <v>39</v>
      </c>
    </row>
    <row r="362" spans="1:21" x14ac:dyDescent="0.35">
      <c r="A362" t="s">
        <v>476</v>
      </c>
      <c r="B362" s="1">
        <v>44845</v>
      </c>
      <c r="C362">
        <v>2022</v>
      </c>
      <c r="D362" t="s">
        <v>75</v>
      </c>
      <c r="E362" t="s">
        <v>76</v>
      </c>
      <c r="F362" t="s">
        <v>64</v>
      </c>
      <c r="G362" t="s">
        <v>77</v>
      </c>
      <c r="H362" t="s">
        <v>66</v>
      </c>
      <c r="I362" t="s">
        <v>67</v>
      </c>
      <c r="J362" t="s">
        <v>56</v>
      </c>
      <c r="K362" t="s">
        <v>29</v>
      </c>
      <c r="L362" t="s">
        <v>38</v>
      </c>
      <c r="M362">
        <v>12</v>
      </c>
      <c r="N362">
        <v>229.99</v>
      </c>
      <c r="O362">
        <v>2759.88</v>
      </c>
      <c r="P362">
        <v>0.13</v>
      </c>
      <c r="Q362">
        <v>358.78</v>
      </c>
      <c r="R362">
        <v>2401.1</v>
      </c>
      <c r="S362">
        <v>192.09</v>
      </c>
      <c r="T362">
        <v>2593.19</v>
      </c>
      <c r="U362" t="s">
        <v>39</v>
      </c>
    </row>
    <row r="363" spans="1:21" x14ac:dyDescent="0.35">
      <c r="A363" t="s">
        <v>477</v>
      </c>
      <c r="B363" s="1">
        <v>44845</v>
      </c>
      <c r="C363">
        <v>2022</v>
      </c>
      <c r="D363" t="s">
        <v>91</v>
      </c>
      <c r="E363" t="s">
        <v>92</v>
      </c>
      <c r="F363" t="s">
        <v>24</v>
      </c>
      <c r="G363" t="s">
        <v>93</v>
      </c>
      <c r="H363" t="s">
        <v>145</v>
      </c>
      <c r="I363" t="s">
        <v>146</v>
      </c>
      <c r="J363" t="s">
        <v>47</v>
      </c>
      <c r="K363" t="s">
        <v>48</v>
      </c>
      <c r="L363" t="s">
        <v>30</v>
      </c>
      <c r="M363">
        <v>12</v>
      </c>
      <c r="N363">
        <v>129.99</v>
      </c>
      <c r="O363">
        <v>1559.88</v>
      </c>
      <c r="P363">
        <v>0.05</v>
      </c>
      <c r="Q363">
        <v>77.989999999999995</v>
      </c>
      <c r="R363">
        <v>1481.89</v>
      </c>
      <c r="S363">
        <v>118.55</v>
      </c>
      <c r="T363">
        <v>1600.44</v>
      </c>
      <c r="U363" t="s">
        <v>39</v>
      </c>
    </row>
    <row r="364" spans="1:21" x14ac:dyDescent="0.35">
      <c r="A364" t="s">
        <v>478</v>
      </c>
      <c r="B364" s="1">
        <v>44847</v>
      </c>
      <c r="C364">
        <v>2022</v>
      </c>
      <c r="D364" t="s">
        <v>148</v>
      </c>
      <c r="E364" t="s">
        <v>149</v>
      </c>
      <c r="F364" t="s">
        <v>43</v>
      </c>
      <c r="G364" t="s">
        <v>150</v>
      </c>
      <c r="H364" t="s">
        <v>66</v>
      </c>
      <c r="I364" t="s">
        <v>67</v>
      </c>
      <c r="J364" t="s">
        <v>56</v>
      </c>
      <c r="K364" t="s">
        <v>48</v>
      </c>
      <c r="L364" t="s">
        <v>30</v>
      </c>
      <c r="M364">
        <v>21</v>
      </c>
      <c r="N364">
        <v>229.99</v>
      </c>
      <c r="O364">
        <v>4829.79</v>
      </c>
      <c r="P364">
        <v>0.08</v>
      </c>
      <c r="Q364">
        <v>386.38</v>
      </c>
      <c r="R364">
        <v>4443.41</v>
      </c>
      <c r="S364">
        <v>355.47</v>
      </c>
      <c r="T364">
        <v>4798.88</v>
      </c>
      <c r="U364" t="s">
        <v>111</v>
      </c>
    </row>
    <row r="365" spans="1:21" x14ac:dyDescent="0.35">
      <c r="A365" t="s">
        <v>479</v>
      </c>
      <c r="B365" s="1">
        <v>44848</v>
      </c>
      <c r="C365">
        <v>2022</v>
      </c>
      <c r="D365" t="s">
        <v>142</v>
      </c>
      <c r="E365" t="s">
        <v>143</v>
      </c>
      <c r="F365" t="s">
        <v>43</v>
      </c>
      <c r="G365" t="s">
        <v>144</v>
      </c>
      <c r="H365" t="s">
        <v>78</v>
      </c>
      <c r="I365" t="s">
        <v>79</v>
      </c>
      <c r="J365" t="s">
        <v>28</v>
      </c>
      <c r="K365" t="s">
        <v>60</v>
      </c>
      <c r="L365" t="s">
        <v>49</v>
      </c>
      <c r="M365">
        <v>12</v>
      </c>
      <c r="N365">
        <v>5.99</v>
      </c>
      <c r="O365">
        <v>71.88</v>
      </c>
      <c r="P365">
        <v>0.05</v>
      </c>
      <c r="Q365">
        <v>3.59</v>
      </c>
      <c r="R365">
        <v>68.290000000000006</v>
      </c>
      <c r="S365">
        <v>5.46</v>
      </c>
      <c r="T365">
        <v>73.75</v>
      </c>
      <c r="U365" t="s">
        <v>39</v>
      </c>
    </row>
    <row r="366" spans="1:21" x14ac:dyDescent="0.35">
      <c r="A366" t="s">
        <v>480</v>
      </c>
      <c r="B366" s="1">
        <v>44849</v>
      </c>
      <c r="C366">
        <v>2022</v>
      </c>
      <c r="D366" t="s">
        <v>51</v>
      </c>
      <c r="E366" t="s">
        <v>52</v>
      </c>
      <c r="F366" t="s">
        <v>24</v>
      </c>
      <c r="G366" t="s">
        <v>53</v>
      </c>
      <c r="H366" t="s">
        <v>66</v>
      </c>
      <c r="I366" t="s">
        <v>67</v>
      </c>
      <c r="J366" t="s">
        <v>56</v>
      </c>
      <c r="K366" t="s">
        <v>48</v>
      </c>
      <c r="L366" t="s">
        <v>73</v>
      </c>
      <c r="M366">
        <v>28</v>
      </c>
      <c r="N366">
        <v>229.99</v>
      </c>
      <c r="O366">
        <v>6439.72</v>
      </c>
      <c r="P366">
        <v>0.08</v>
      </c>
      <c r="Q366">
        <v>515.17999999999995</v>
      </c>
      <c r="R366">
        <v>5924.54</v>
      </c>
      <c r="S366">
        <v>473.96</v>
      </c>
      <c r="T366">
        <v>6398.5</v>
      </c>
      <c r="U366" t="s">
        <v>39</v>
      </c>
    </row>
    <row r="367" spans="1:21" x14ac:dyDescent="0.35">
      <c r="A367" t="s">
        <v>481</v>
      </c>
      <c r="B367" s="1">
        <v>44849</v>
      </c>
      <c r="C367">
        <v>2022</v>
      </c>
      <c r="D367" t="s">
        <v>41</v>
      </c>
      <c r="E367" t="s">
        <v>42</v>
      </c>
      <c r="F367" t="s">
        <v>43</v>
      </c>
      <c r="G367" t="s">
        <v>44</v>
      </c>
      <c r="H367" t="s">
        <v>78</v>
      </c>
      <c r="I367" t="s">
        <v>79</v>
      </c>
      <c r="J367" t="s">
        <v>28</v>
      </c>
      <c r="K367" t="s">
        <v>29</v>
      </c>
      <c r="L367" t="s">
        <v>73</v>
      </c>
      <c r="M367">
        <v>9</v>
      </c>
      <c r="N367">
        <v>5.99</v>
      </c>
      <c r="O367">
        <v>53.91</v>
      </c>
      <c r="P367">
        <v>0</v>
      </c>
      <c r="Q367">
        <v>0</v>
      </c>
      <c r="R367">
        <v>53.91</v>
      </c>
      <c r="S367">
        <v>4.3099999999999996</v>
      </c>
      <c r="T367">
        <v>0</v>
      </c>
      <c r="U367" t="s">
        <v>31</v>
      </c>
    </row>
    <row r="368" spans="1:21" x14ac:dyDescent="0.35">
      <c r="A368" t="s">
        <v>482</v>
      </c>
      <c r="B368" s="1">
        <v>44851</v>
      </c>
      <c r="C368">
        <v>2022</v>
      </c>
      <c r="D368" t="s">
        <v>41</v>
      </c>
      <c r="E368" t="s">
        <v>42</v>
      </c>
      <c r="F368" t="s">
        <v>43</v>
      </c>
      <c r="G368" t="s">
        <v>44</v>
      </c>
      <c r="H368" t="s">
        <v>128</v>
      </c>
      <c r="I368" t="s">
        <v>129</v>
      </c>
      <c r="J368" t="s">
        <v>47</v>
      </c>
      <c r="K368" t="s">
        <v>48</v>
      </c>
      <c r="L368" t="s">
        <v>30</v>
      </c>
      <c r="M368">
        <v>22</v>
      </c>
      <c r="N368">
        <v>399.99</v>
      </c>
      <c r="O368">
        <v>8799.7800000000007</v>
      </c>
      <c r="P368">
        <v>0.08</v>
      </c>
      <c r="Q368">
        <v>703.98</v>
      </c>
      <c r="R368">
        <v>8095.8</v>
      </c>
      <c r="S368">
        <v>647.66</v>
      </c>
      <c r="T368">
        <v>8743.4599999999991</v>
      </c>
      <c r="U368" t="s">
        <v>39</v>
      </c>
    </row>
    <row r="369" spans="1:21" x14ac:dyDescent="0.35">
      <c r="A369" t="s">
        <v>483</v>
      </c>
      <c r="B369" s="1">
        <v>44852</v>
      </c>
      <c r="C369">
        <v>2022</v>
      </c>
      <c r="D369" t="s">
        <v>75</v>
      </c>
      <c r="E369" t="s">
        <v>76</v>
      </c>
      <c r="F369" t="s">
        <v>64</v>
      </c>
      <c r="G369" t="s">
        <v>77</v>
      </c>
      <c r="H369" t="s">
        <v>26</v>
      </c>
      <c r="I369" t="s">
        <v>27</v>
      </c>
      <c r="J369" t="s">
        <v>28</v>
      </c>
      <c r="K369" t="s">
        <v>37</v>
      </c>
      <c r="L369" t="s">
        <v>49</v>
      </c>
      <c r="M369">
        <v>11</v>
      </c>
      <c r="N369">
        <v>8.99</v>
      </c>
      <c r="O369">
        <v>98.89</v>
      </c>
      <c r="P369">
        <v>0.05</v>
      </c>
      <c r="Q369">
        <v>4.9400000000000004</v>
      </c>
      <c r="R369">
        <v>93.95</v>
      </c>
      <c r="S369">
        <v>7.52</v>
      </c>
      <c r="T369">
        <v>101.47</v>
      </c>
      <c r="U369" t="s">
        <v>111</v>
      </c>
    </row>
    <row r="370" spans="1:21" x14ac:dyDescent="0.35">
      <c r="A370" t="s">
        <v>484</v>
      </c>
      <c r="B370" s="1">
        <v>44854</v>
      </c>
      <c r="C370">
        <v>2022</v>
      </c>
      <c r="D370" t="s">
        <v>186</v>
      </c>
      <c r="E370" t="s">
        <v>187</v>
      </c>
      <c r="F370" t="s">
        <v>43</v>
      </c>
      <c r="G370" t="s">
        <v>188</v>
      </c>
      <c r="H370" t="s">
        <v>128</v>
      </c>
      <c r="I370" t="s">
        <v>129</v>
      </c>
      <c r="J370" t="s">
        <v>47</v>
      </c>
      <c r="K370" t="s">
        <v>48</v>
      </c>
      <c r="L370" t="s">
        <v>69</v>
      </c>
      <c r="M370">
        <v>30</v>
      </c>
      <c r="N370">
        <v>399.99</v>
      </c>
      <c r="O370">
        <v>11999.7</v>
      </c>
      <c r="P370">
        <v>0.08</v>
      </c>
      <c r="Q370">
        <v>959.98</v>
      </c>
      <c r="R370">
        <v>11039.72</v>
      </c>
      <c r="S370">
        <v>883.18</v>
      </c>
      <c r="T370">
        <v>11922.9</v>
      </c>
      <c r="U370" t="s">
        <v>39</v>
      </c>
    </row>
    <row r="371" spans="1:21" x14ac:dyDescent="0.35">
      <c r="A371" t="s">
        <v>485</v>
      </c>
      <c r="B371" s="1">
        <v>44854</v>
      </c>
      <c r="C371">
        <v>2022</v>
      </c>
      <c r="D371" t="s">
        <v>122</v>
      </c>
      <c r="E371" t="s">
        <v>123</v>
      </c>
      <c r="F371" t="s">
        <v>64</v>
      </c>
      <c r="G371" t="s">
        <v>124</v>
      </c>
      <c r="H371" t="s">
        <v>58</v>
      </c>
      <c r="I371" t="s">
        <v>59</v>
      </c>
      <c r="J371" t="s">
        <v>56</v>
      </c>
      <c r="K371" t="s">
        <v>68</v>
      </c>
      <c r="L371" t="s">
        <v>30</v>
      </c>
      <c r="M371">
        <v>8</v>
      </c>
      <c r="N371">
        <v>599.99</v>
      </c>
      <c r="O371">
        <v>4799.92</v>
      </c>
      <c r="P371">
        <v>0</v>
      </c>
      <c r="Q371">
        <v>0</v>
      </c>
      <c r="R371">
        <v>4799.92</v>
      </c>
      <c r="S371">
        <v>383.99</v>
      </c>
      <c r="T371">
        <v>5183.91</v>
      </c>
      <c r="U371" t="s">
        <v>39</v>
      </c>
    </row>
    <row r="372" spans="1:21" x14ac:dyDescent="0.35">
      <c r="A372" t="s">
        <v>486</v>
      </c>
      <c r="B372" s="1">
        <v>44854</v>
      </c>
      <c r="C372">
        <v>2022</v>
      </c>
      <c r="D372" t="s">
        <v>91</v>
      </c>
      <c r="E372" t="s">
        <v>92</v>
      </c>
      <c r="F372" t="s">
        <v>24</v>
      </c>
      <c r="G372" t="s">
        <v>93</v>
      </c>
      <c r="H372" t="s">
        <v>100</v>
      </c>
      <c r="I372" t="s">
        <v>101</v>
      </c>
      <c r="J372" t="s">
        <v>47</v>
      </c>
      <c r="K372" t="s">
        <v>48</v>
      </c>
      <c r="L372" t="s">
        <v>49</v>
      </c>
      <c r="M372">
        <v>7</v>
      </c>
      <c r="N372">
        <v>29.99</v>
      </c>
      <c r="O372">
        <v>209.93</v>
      </c>
      <c r="P372">
        <v>0</v>
      </c>
      <c r="Q372">
        <v>0</v>
      </c>
      <c r="R372">
        <v>209.93</v>
      </c>
      <c r="S372">
        <v>16.79</v>
      </c>
      <c r="T372">
        <v>226.72</v>
      </c>
      <c r="U372" t="s">
        <v>111</v>
      </c>
    </row>
    <row r="373" spans="1:21" x14ac:dyDescent="0.35">
      <c r="A373" t="s">
        <v>487</v>
      </c>
      <c r="B373" s="1">
        <v>44858</v>
      </c>
      <c r="C373">
        <v>2022</v>
      </c>
      <c r="D373" t="s">
        <v>91</v>
      </c>
      <c r="E373" t="s">
        <v>92</v>
      </c>
      <c r="F373" t="s">
        <v>24</v>
      </c>
      <c r="G373" t="s">
        <v>93</v>
      </c>
      <c r="H373" t="s">
        <v>84</v>
      </c>
      <c r="I373" t="s">
        <v>85</v>
      </c>
      <c r="J373" t="s">
        <v>47</v>
      </c>
      <c r="K373" t="s">
        <v>48</v>
      </c>
      <c r="L373" t="s">
        <v>38</v>
      </c>
      <c r="M373">
        <v>21</v>
      </c>
      <c r="N373">
        <v>249.99</v>
      </c>
      <c r="O373">
        <v>5249.79</v>
      </c>
      <c r="P373">
        <v>0.16</v>
      </c>
      <c r="Q373">
        <v>839.97</v>
      </c>
      <c r="R373">
        <v>4409.82</v>
      </c>
      <c r="S373">
        <v>352.79</v>
      </c>
      <c r="T373">
        <v>4762.6099999999997</v>
      </c>
      <c r="U373" t="s">
        <v>39</v>
      </c>
    </row>
    <row r="374" spans="1:21" x14ac:dyDescent="0.35">
      <c r="A374" t="s">
        <v>488</v>
      </c>
      <c r="B374" s="1">
        <v>44860</v>
      </c>
      <c r="C374">
        <v>2022</v>
      </c>
      <c r="D374" t="s">
        <v>122</v>
      </c>
      <c r="E374" t="s">
        <v>123</v>
      </c>
      <c r="F374" t="s">
        <v>64</v>
      </c>
      <c r="G374" t="s">
        <v>124</v>
      </c>
      <c r="H374" t="s">
        <v>100</v>
      </c>
      <c r="I374" t="s">
        <v>101</v>
      </c>
      <c r="J374" t="s">
        <v>47</v>
      </c>
      <c r="K374" t="s">
        <v>48</v>
      </c>
      <c r="L374" t="s">
        <v>38</v>
      </c>
      <c r="M374">
        <v>7</v>
      </c>
      <c r="N374">
        <v>29.99</v>
      </c>
      <c r="O374">
        <v>209.93</v>
      </c>
      <c r="P374">
        <v>0.08</v>
      </c>
      <c r="Q374">
        <v>16.79</v>
      </c>
      <c r="R374">
        <v>193.14</v>
      </c>
      <c r="S374">
        <v>15.45</v>
      </c>
      <c r="T374">
        <v>208.59</v>
      </c>
      <c r="U374" t="s">
        <v>39</v>
      </c>
    </row>
    <row r="375" spans="1:21" x14ac:dyDescent="0.35">
      <c r="A375" t="s">
        <v>489</v>
      </c>
      <c r="B375" s="1">
        <v>44861</v>
      </c>
      <c r="C375">
        <v>2022</v>
      </c>
      <c r="D375" t="s">
        <v>33</v>
      </c>
      <c r="E375" t="s">
        <v>34</v>
      </c>
      <c r="F375" t="s">
        <v>35</v>
      </c>
      <c r="G375" t="s">
        <v>36</v>
      </c>
      <c r="H375" t="s">
        <v>208</v>
      </c>
      <c r="I375" t="s">
        <v>209</v>
      </c>
      <c r="J375" t="s">
        <v>47</v>
      </c>
      <c r="K375" t="s">
        <v>29</v>
      </c>
      <c r="L375" t="s">
        <v>49</v>
      </c>
      <c r="M375">
        <v>21</v>
      </c>
      <c r="N375">
        <v>49.99</v>
      </c>
      <c r="O375">
        <v>1049.79</v>
      </c>
      <c r="P375">
        <v>0.08</v>
      </c>
      <c r="Q375">
        <v>83.98</v>
      </c>
      <c r="R375">
        <v>965.81</v>
      </c>
      <c r="S375">
        <v>77.260000000000005</v>
      </c>
      <c r="T375">
        <v>0</v>
      </c>
      <c r="U375" t="s">
        <v>31</v>
      </c>
    </row>
    <row r="376" spans="1:21" x14ac:dyDescent="0.35">
      <c r="A376" t="s">
        <v>490</v>
      </c>
      <c r="B376" s="1">
        <v>44862</v>
      </c>
      <c r="C376">
        <v>2022</v>
      </c>
      <c r="D376" t="s">
        <v>81</v>
      </c>
      <c r="E376" t="s">
        <v>82</v>
      </c>
      <c r="F376" t="s">
        <v>35</v>
      </c>
      <c r="G376" t="s">
        <v>83</v>
      </c>
      <c r="H376" t="s">
        <v>100</v>
      </c>
      <c r="I376" t="s">
        <v>101</v>
      </c>
      <c r="J376" t="s">
        <v>47</v>
      </c>
      <c r="K376" t="s">
        <v>37</v>
      </c>
      <c r="L376" t="s">
        <v>73</v>
      </c>
      <c r="M376">
        <v>2</v>
      </c>
      <c r="N376">
        <v>29.99</v>
      </c>
      <c r="O376">
        <v>59.98</v>
      </c>
      <c r="P376">
        <v>0</v>
      </c>
      <c r="Q376">
        <v>0</v>
      </c>
      <c r="R376">
        <v>59.98</v>
      </c>
      <c r="S376">
        <v>4.8</v>
      </c>
      <c r="T376">
        <v>0</v>
      </c>
      <c r="U376" t="s">
        <v>31</v>
      </c>
    </row>
    <row r="377" spans="1:21" x14ac:dyDescent="0.35">
      <c r="A377" t="s">
        <v>491</v>
      </c>
      <c r="B377" s="1">
        <v>44862</v>
      </c>
      <c r="C377">
        <v>2022</v>
      </c>
      <c r="D377" t="s">
        <v>51</v>
      </c>
      <c r="E377" t="s">
        <v>52</v>
      </c>
      <c r="F377" t="s">
        <v>24</v>
      </c>
      <c r="G377" t="s">
        <v>53</v>
      </c>
      <c r="H377" t="s">
        <v>78</v>
      </c>
      <c r="I377" t="s">
        <v>79</v>
      </c>
      <c r="J377" t="s">
        <v>28</v>
      </c>
      <c r="K377" t="s">
        <v>29</v>
      </c>
      <c r="L377" t="s">
        <v>69</v>
      </c>
      <c r="M377">
        <v>24</v>
      </c>
      <c r="N377">
        <v>5.99</v>
      </c>
      <c r="O377">
        <v>143.76</v>
      </c>
      <c r="P377">
        <v>0.08</v>
      </c>
      <c r="Q377">
        <v>11.5</v>
      </c>
      <c r="R377">
        <v>132.26</v>
      </c>
      <c r="S377">
        <v>10.58</v>
      </c>
      <c r="T377">
        <v>0</v>
      </c>
      <c r="U377" t="s">
        <v>31</v>
      </c>
    </row>
    <row r="378" spans="1:21" x14ac:dyDescent="0.35">
      <c r="A378" t="s">
        <v>492</v>
      </c>
      <c r="B378" s="1">
        <v>44873</v>
      </c>
      <c r="C378">
        <v>2022</v>
      </c>
      <c r="D378" t="s">
        <v>107</v>
      </c>
      <c r="E378" t="s">
        <v>108</v>
      </c>
      <c r="F378" t="s">
        <v>35</v>
      </c>
      <c r="G378" t="s">
        <v>109</v>
      </c>
      <c r="H378" t="s">
        <v>78</v>
      </c>
      <c r="I378" t="s">
        <v>79</v>
      </c>
      <c r="J378" t="s">
        <v>28</v>
      </c>
      <c r="K378" t="s">
        <v>60</v>
      </c>
      <c r="L378" t="s">
        <v>69</v>
      </c>
      <c r="M378">
        <v>11</v>
      </c>
      <c r="N378">
        <v>5.99</v>
      </c>
      <c r="O378">
        <v>65.89</v>
      </c>
      <c r="P378">
        <v>0.05</v>
      </c>
      <c r="Q378">
        <v>3.29</v>
      </c>
      <c r="R378">
        <v>62.6</v>
      </c>
      <c r="S378">
        <v>5.01</v>
      </c>
      <c r="T378">
        <v>67.61</v>
      </c>
      <c r="U378" t="s">
        <v>39</v>
      </c>
    </row>
    <row r="379" spans="1:21" x14ac:dyDescent="0.35">
      <c r="A379" t="s">
        <v>493</v>
      </c>
      <c r="B379" s="1">
        <v>44873</v>
      </c>
      <c r="C379">
        <v>2022</v>
      </c>
      <c r="D379" t="s">
        <v>97</v>
      </c>
      <c r="E379" t="s">
        <v>98</v>
      </c>
      <c r="F379" t="s">
        <v>35</v>
      </c>
      <c r="G379" t="s">
        <v>99</v>
      </c>
      <c r="H379" t="s">
        <v>145</v>
      </c>
      <c r="I379" t="s">
        <v>146</v>
      </c>
      <c r="J379" t="s">
        <v>47</v>
      </c>
      <c r="K379" t="s">
        <v>48</v>
      </c>
      <c r="L379" t="s">
        <v>73</v>
      </c>
      <c r="M379">
        <v>5</v>
      </c>
      <c r="N379">
        <v>129.99</v>
      </c>
      <c r="O379">
        <v>649.95000000000005</v>
      </c>
      <c r="P379">
        <v>0</v>
      </c>
      <c r="Q379">
        <v>0</v>
      </c>
      <c r="R379">
        <v>649.95000000000005</v>
      </c>
      <c r="S379">
        <v>52</v>
      </c>
      <c r="T379">
        <v>701.95</v>
      </c>
      <c r="U379" t="s">
        <v>39</v>
      </c>
    </row>
    <row r="380" spans="1:21" x14ac:dyDescent="0.35">
      <c r="A380" t="s">
        <v>494</v>
      </c>
      <c r="B380" s="1">
        <v>44875</v>
      </c>
      <c r="C380">
        <v>2022</v>
      </c>
      <c r="D380" t="s">
        <v>107</v>
      </c>
      <c r="E380" t="s">
        <v>108</v>
      </c>
      <c r="F380" t="s">
        <v>35</v>
      </c>
      <c r="G380" t="s">
        <v>109</v>
      </c>
      <c r="H380" t="s">
        <v>45</v>
      </c>
      <c r="I380" t="s">
        <v>46</v>
      </c>
      <c r="J380" t="s">
        <v>47</v>
      </c>
      <c r="K380" t="s">
        <v>48</v>
      </c>
      <c r="L380" t="s">
        <v>73</v>
      </c>
      <c r="M380">
        <v>30</v>
      </c>
      <c r="N380">
        <v>89.99</v>
      </c>
      <c r="O380">
        <v>2699.7</v>
      </c>
      <c r="P380">
        <v>0.08</v>
      </c>
      <c r="Q380">
        <v>215.98</v>
      </c>
      <c r="R380">
        <v>2483.7199999999998</v>
      </c>
      <c r="S380">
        <v>198.7</v>
      </c>
      <c r="T380">
        <v>2682.42</v>
      </c>
      <c r="U380" t="s">
        <v>39</v>
      </c>
    </row>
    <row r="381" spans="1:21" x14ac:dyDescent="0.35">
      <c r="A381" t="s">
        <v>495</v>
      </c>
      <c r="B381" s="1">
        <v>44876</v>
      </c>
      <c r="C381">
        <v>2022</v>
      </c>
      <c r="D381" t="s">
        <v>186</v>
      </c>
      <c r="E381" t="s">
        <v>187</v>
      </c>
      <c r="F381" t="s">
        <v>43</v>
      </c>
      <c r="G381" t="s">
        <v>188</v>
      </c>
      <c r="H381" t="s">
        <v>54</v>
      </c>
      <c r="I381" t="s">
        <v>55</v>
      </c>
      <c r="J381" t="s">
        <v>56</v>
      </c>
      <c r="K381" t="s">
        <v>68</v>
      </c>
      <c r="L381" t="s">
        <v>38</v>
      </c>
      <c r="M381">
        <v>8</v>
      </c>
      <c r="N381">
        <v>39.99</v>
      </c>
      <c r="O381">
        <v>319.92</v>
      </c>
      <c r="P381">
        <v>0.08</v>
      </c>
      <c r="Q381">
        <v>25.59</v>
      </c>
      <c r="R381">
        <v>294.33</v>
      </c>
      <c r="S381">
        <v>23.55</v>
      </c>
      <c r="T381">
        <v>0</v>
      </c>
      <c r="U381" t="s">
        <v>31</v>
      </c>
    </row>
    <row r="382" spans="1:21" x14ac:dyDescent="0.35">
      <c r="A382" t="s">
        <v>496</v>
      </c>
      <c r="B382" s="1">
        <v>44878</v>
      </c>
      <c r="C382">
        <v>2022</v>
      </c>
      <c r="D382" t="s">
        <v>33</v>
      </c>
      <c r="E382" t="s">
        <v>34</v>
      </c>
      <c r="F382" t="s">
        <v>35</v>
      </c>
      <c r="G382" t="s">
        <v>36</v>
      </c>
      <c r="H382" t="s">
        <v>45</v>
      </c>
      <c r="I382" t="s">
        <v>46</v>
      </c>
      <c r="J382" t="s">
        <v>47</v>
      </c>
      <c r="K382" t="s">
        <v>68</v>
      </c>
      <c r="L382" t="s">
        <v>73</v>
      </c>
      <c r="M382">
        <v>25</v>
      </c>
      <c r="N382">
        <v>89.99</v>
      </c>
      <c r="O382">
        <v>2249.75</v>
      </c>
      <c r="P382">
        <v>0.08</v>
      </c>
      <c r="Q382">
        <v>179.98</v>
      </c>
      <c r="R382">
        <v>2069.77</v>
      </c>
      <c r="S382">
        <v>165.58</v>
      </c>
      <c r="T382">
        <v>2235.35</v>
      </c>
      <c r="U382" t="s">
        <v>39</v>
      </c>
    </row>
    <row r="383" spans="1:21" x14ac:dyDescent="0.35">
      <c r="A383" t="s">
        <v>497</v>
      </c>
      <c r="B383" s="1">
        <v>44883</v>
      </c>
      <c r="C383">
        <v>2022</v>
      </c>
      <c r="D383" t="s">
        <v>186</v>
      </c>
      <c r="E383" t="s">
        <v>187</v>
      </c>
      <c r="F383" t="s">
        <v>43</v>
      </c>
      <c r="G383" t="s">
        <v>188</v>
      </c>
      <c r="H383" t="s">
        <v>208</v>
      </c>
      <c r="I383" t="s">
        <v>209</v>
      </c>
      <c r="J383" t="s">
        <v>47</v>
      </c>
      <c r="K383" t="s">
        <v>29</v>
      </c>
      <c r="L383" t="s">
        <v>69</v>
      </c>
      <c r="M383">
        <v>25</v>
      </c>
      <c r="N383">
        <v>49.99</v>
      </c>
      <c r="O383">
        <v>1249.75</v>
      </c>
      <c r="P383">
        <v>0.08</v>
      </c>
      <c r="Q383">
        <v>99.98</v>
      </c>
      <c r="R383">
        <v>1149.77</v>
      </c>
      <c r="S383">
        <v>91.98</v>
      </c>
      <c r="T383">
        <v>1241.75</v>
      </c>
      <c r="U383" t="s">
        <v>39</v>
      </c>
    </row>
    <row r="384" spans="1:21" x14ac:dyDescent="0.35">
      <c r="A384" t="s">
        <v>498</v>
      </c>
      <c r="B384" s="1">
        <v>44885</v>
      </c>
      <c r="C384">
        <v>2022</v>
      </c>
      <c r="D384" t="s">
        <v>122</v>
      </c>
      <c r="E384" t="s">
        <v>123</v>
      </c>
      <c r="F384" t="s">
        <v>64</v>
      </c>
      <c r="G384" t="s">
        <v>124</v>
      </c>
      <c r="H384" t="s">
        <v>145</v>
      </c>
      <c r="I384" t="s">
        <v>146</v>
      </c>
      <c r="J384" t="s">
        <v>47</v>
      </c>
      <c r="K384" t="s">
        <v>37</v>
      </c>
      <c r="L384" t="s">
        <v>30</v>
      </c>
      <c r="M384">
        <v>26</v>
      </c>
      <c r="N384">
        <v>129.99</v>
      </c>
      <c r="O384">
        <v>3379.74</v>
      </c>
      <c r="P384">
        <v>0.08</v>
      </c>
      <c r="Q384">
        <v>270.38</v>
      </c>
      <c r="R384">
        <v>3109.36</v>
      </c>
      <c r="S384">
        <v>248.75</v>
      </c>
      <c r="T384">
        <v>3358.11</v>
      </c>
      <c r="U384" t="s">
        <v>39</v>
      </c>
    </row>
    <row r="385" spans="1:21" x14ac:dyDescent="0.35">
      <c r="A385" t="s">
        <v>499</v>
      </c>
      <c r="B385" s="1">
        <v>44885</v>
      </c>
      <c r="C385">
        <v>2022</v>
      </c>
      <c r="D385" t="s">
        <v>97</v>
      </c>
      <c r="E385" t="s">
        <v>98</v>
      </c>
      <c r="F385" t="s">
        <v>35</v>
      </c>
      <c r="G385" t="s">
        <v>99</v>
      </c>
      <c r="H385" t="s">
        <v>54</v>
      </c>
      <c r="I385" t="s">
        <v>55</v>
      </c>
      <c r="J385" t="s">
        <v>56</v>
      </c>
      <c r="K385" t="s">
        <v>29</v>
      </c>
      <c r="L385" t="s">
        <v>38</v>
      </c>
      <c r="M385">
        <v>16</v>
      </c>
      <c r="N385">
        <v>39.99</v>
      </c>
      <c r="O385">
        <v>639.84</v>
      </c>
      <c r="P385">
        <v>0.13</v>
      </c>
      <c r="Q385">
        <v>83.18</v>
      </c>
      <c r="R385">
        <v>556.66</v>
      </c>
      <c r="S385">
        <v>44.53</v>
      </c>
      <c r="T385">
        <v>601.19000000000005</v>
      </c>
      <c r="U385" t="s">
        <v>111</v>
      </c>
    </row>
    <row r="386" spans="1:21" x14ac:dyDescent="0.35">
      <c r="A386" t="s">
        <v>500</v>
      </c>
      <c r="B386" s="1">
        <v>44886</v>
      </c>
      <c r="C386">
        <v>2022</v>
      </c>
      <c r="D386" t="s">
        <v>62</v>
      </c>
      <c r="E386" t="s">
        <v>63</v>
      </c>
      <c r="F386" t="s">
        <v>64</v>
      </c>
      <c r="G386" t="s">
        <v>65</v>
      </c>
      <c r="H386" t="s">
        <v>45</v>
      </c>
      <c r="I386" t="s">
        <v>46</v>
      </c>
      <c r="J386" t="s">
        <v>47</v>
      </c>
      <c r="K386" t="s">
        <v>60</v>
      </c>
      <c r="L386" t="s">
        <v>69</v>
      </c>
      <c r="M386">
        <v>24</v>
      </c>
      <c r="N386">
        <v>89.99</v>
      </c>
      <c r="O386">
        <v>2159.7600000000002</v>
      </c>
      <c r="P386">
        <v>0.08</v>
      </c>
      <c r="Q386">
        <v>172.78</v>
      </c>
      <c r="R386">
        <v>1986.98</v>
      </c>
      <c r="S386">
        <v>158.96</v>
      </c>
      <c r="T386">
        <v>2145.94</v>
      </c>
      <c r="U386" t="s">
        <v>39</v>
      </c>
    </row>
    <row r="387" spans="1:21" x14ac:dyDescent="0.35">
      <c r="A387" t="s">
        <v>501</v>
      </c>
      <c r="B387" s="1">
        <v>44888</v>
      </c>
      <c r="C387">
        <v>2022</v>
      </c>
      <c r="D387" t="s">
        <v>122</v>
      </c>
      <c r="E387" t="s">
        <v>123</v>
      </c>
      <c r="F387" t="s">
        <v>64</v>
      </c>
      <c r="G387" t="s">
        <v>124</v>
      </c>
      <c r="H387" t="s">
        <v>45</v>
      </c>
      <c r="I387" t="s">
        <v>46</v>
      </c>
      <c r="J387" t="s">
        <v>47</v>
      </c>
      <c r="K387" t="s">
        <v>37</v>
      </c>
      <c r="L387" t="s">
        <v>69</v>
      </c>
      <c r="M387">
        <v>22</v>
      </c>
      <c r="N387">
        <v>89.99</v>
      </c>
      <c r="O387">
        <v>1979.78</v>
      </c>
      <c r="P387">
        <v>0.08</v>
      </c>
      <c r="Q387">
        <v>158.38</v>
      </c>
      <c r="R387">
        <v>1821.4</v>
      </c>
      <c r="S387">
        <v>145.71</v>
      </c>
      <c r="T387">
        <v>1967.11</v>
      </c>
      <c r="U387" t="s">
        <v>39</v>
      </c>
    </row>
    <row r="388" spans="1:21" x14ac:dyDescent="0.35">
      <c r="A388" t="s">
        <v>502</v>
      </c>
      <c r="B388" s="1">
        <v>44889</v>
      </c>
      <c r="C388">
        <v>2022</v>
      </c>
      <c r="D388" t="s">
        <v>51</v>
      </c>
      <c r="E388" t="s">
        <v>52</v>
      </c>
      <c r="F388" t="s">
        <v>24</v>
      </c>
      <c r="G388" t="s">
        <v>53</v>
      </c>
      <c r="H388" t="s">
        <v>94</v>
      </c>
      <c r="I388" t="s">
        <v>95</v>
      </c>
      <c r="J388" t="s">
        <v>56</v>
      </c>
      <c r="K388" t="s">
        <v>68</v>
      </c>
      <c r="L388" t="s">
        <v>69</v>
      </c>
      <c r="M388">
        <v>14</v>
      </c>
      <c r="N388">
        <v>349.99</v>
      </c>
      <c r="O388">
        <v>4899.8599999999997</v>
      </c>
      <c r="P388">
        <v>0.05</v>
      </c>
      <c r="Q388">
        <v>244.99</v>
      </c>
      <c r="R388">
        <v>4654.87</v>
      </c>
      <c r="S388">
        <v>372.39</v>
      </c>
      <c r="T388">
        <v>5027.26</v>
      </c>
      <c r="U388" t="s">
        <v>39</v>
      </c>
    </row>
    <row r="389" spans="1:21" x14ac:dyDescent="0.35">
      <c r="A389" t="s">
        <v>503</v>
      </c>
      <c r="B389" s="1">
        <v>44889</v>
      </c>
      <c r="C389">
        <v>2022</v>
      </c>
      <c r="D389" t="s">
        <v>62</v>
      </c>
      <c r="E389" t="s">
        <v>63</v>
      </c>
      <c r="F389" t="s">
        <v>64</v>
      </c>
      <c r="G389" t="s">
        <v>65</v>
      </c>
      <c r="H389" t="s">
        <v>45</v>
      </c>
      <c r="I389" t="s">
        <v>46</v>
      </c>
      <c r="J389" t="s">
        <v>47</v>
      </c>
      <c r="K389" t="s">
        <v>29</v>
      </c>
      <c r="L389" t="s">
        <v>73</v>
      </c>
      <c r="M389">
        <v>28</v>
      </c>
      <c r="N389">
        <v>89.99</v>
      </c>
      <c r="O389">
        <v>2519.7199999999998</v>
      </c>
      <c r="P389">
        <v>0.08</v>
      </c>
      <c r="Q389">
        <v>201.58</v>
      </c>
      <c r="R389">
        <v>2318.14</v>
      </c>
      <c r="S389">
        <v>185.45</v>
      </c>
      <c r="T389">
        <v>0</v>
      </c>
      <c r="U389" t="s">
        <v>31</v>
      </c>
    </row>
    <row r="390" spans="1:21" x14ac:dyDescent="0.35">
      <c r="A390" t="s">
        <v>504</v>
      </c>
      <c r="B390" s="1">
        <v>44892</v>
      </c>
      <c r="C390">
        <v>2022</v>
      </c>
      <c r="D390" t="s">
        <v>87</v>
      </c>
      <c r="E390" t="s">
        <v>88</v>
      </c>
      <c r="F390" t="s">
        <v>24</v>
      </c>
      <c r="G390" t="s">
        <v>89</v>
      </c>
      <c r="H390" t="s">
        <v>54</v>
      </c>
      <c r="I390" t="s">
        <v>55</v>
      </c>
      <c r="J390" t="s">
        <v>56</v>
      </c>
      <c r="K390" t="s">
        <v>29</v>
      </c>
      <c r="L390" t="s">
        <v>49</v>
      </c>
      <c r="M390">
        <v>24</v>
      </c>
      <c r="N390">
        <v>39.99</v>
      </c>
      <c r="O390">
        <v>959.76</v>
      </c>
      <c r="P390">
        <v>0.08</v>
      </c>
      <c r="Q390">
        <v>76.78</v>
      </c>
      <c r="R390">
        <v>882.98</v>
      </c>
      <c r="S390">
        <v>70.64</v>
      </c>
      <c r="T390">
        <v>953.62</v>
      </c>
      <c r="U390" t="s">
        <v>39</v>
      </c>
    </row>
    <row r="391" spans="1:21" x14ac:dyDescent="0.35">
      <c r="A391" t="s">
        <v>505</v>
      </c>
      <c r="B391" s="1">
        <v>44892</v>
      </c>
      <c r="C391">
        <v>2022</v>
      </c>
      <c r="D391" t="s">
        <v>91</v>
      </c>
      <c r="E391" t="s">
        <v>92</v>
      </c>
      <c r="F391" t="s">
        <v>24</v>
      </c>
      <c r="G391" t="s">
        <v>93</v>
      </c>
      <c r="H391" t="s">
        <v>128</v>
      </c>
      <c r="I391" t="s">
        <v>129</v>
      </c>
      <c r="J391" t="s">
        <v>47</v>
      </c>
      <c r="K391" t="s">
        <v>68</v>
      </c>
      <c r="L391" t="s">
        <v>49</v>
      </c>
      <c r="M391">
        <v>3</v>
      </c>
      <c r="N391">
        <v>399.99</v>
      </c>
      <c r="O391">
        <v>1199.97</v>
      </c>
      <c r="P391">
        <v>0</v>
      </c>
      <c r="Q391">
        <v>0</v>
      </c>
      <c r="R391">
        <v>1199.97</v>
      </c>
      <c r="S391">
        <v>96</v>
      </c>
      <c r="T391">
        <v>1295.97</v>
      </c>
      <c r="U391" t="s">
        <v>39</v>
      </c>
    </row>
    <row r="392" spans="1:21" x14ac:dyDescent="0.35">
      <c r="A392" t="s">
        <v>506</v>
      </c>
      <c r="B392" s="1">
        <v>44893</v>
      </c>
      <c r="C392">
        <v>2022</v>
      </c>
      <c r="D392" t="s">
        <v>33</v>
      </c>
      <c r="E392" t="s">
        <v>34</v>
      </c>
      <c r="F392" t="s">
        <v>35</v>
      </c>
      <c r="G392" t="s">
        <v>36</v>
      </c>
      <c r="H392" t="s">
        <v>66</v>
      </c>
      <c r="I392" t="s">
        <v>67</v>
      </c>
      <c r="J392" t="s">
        <v>56</v>
      </c>
      <c r="K392" t="s">
        <v>37</v>
      </c>
      <c r="L392" t="s">
        <v>73</v>
      </c>
      <c r="M392">
        <v>15</v>
      </c>
      <c r="N392">
        <v>229.99</v>
      </c>
      <c r="O392">
        <v>3449.85</v>
      </c>
      <c r="P392">
        <v>0.05</v>
      </c>
      <c r="Q392">
        <v>172.49</v>
      </c>
      <c r="R392">
        <v>3277.36</v>
      </c>
      <c r="S392">
        <v>262.19</v>
      </c>
      <c r="T392">
        <v>3539.55</v>
      </c>
      <c r="U392" t="s">
        <v>111</v>
      </c>
    </row>
    <row r="393" spans="1:21" x14ac:dyDescent="0.35">
      <c r="A393" t="s">
        <v>507</v>
      </c>
      <c r="B393" s="1">
        <v>44894</v>
      </c>
      <c r="C393">
        <v>2022</v>
      </c>
      <c r="D393" t="s">
        <v>75</v>
      </c>
      <c r="E393" t="s">
        <v>76</v>
      </c>
      <c r="F393" t="s">
        <v>64</v>
      </c>
      <c r="G393" t="s">
        <v>77</v>
      </c>
      <c r="H393" t="s">
        <v>45</v>
      </c>
      <c r="I393" t="s">
        <v>46</v>
      </c>
      <c r="J393" t="s">
        <v>47</v>
      </c>
      <c r="K393" t="s">
        <v>48</v>
      </c>
      <c r="L393" t="s">
        <v>49</v>
      </c>
      <c r="M393">
        <v>11</v>
      </c>
      <c r="N393">
        <v>89.99</v>
      </c>
      <c r="O393">
        <v>989.89</v>
      </c>
      <c r="P393">
        <v>0.05</v>
      </c>
      <c r="Q393">
        <v>49.49</v>
      </c>
      <c r="R393">
        <v>940.4</v>
      </c>
      <c r="S393">
        <v>75.23</v>
      </c>
      <c r="T393">
        <v>1015.63</v>
      </c>
      <c r="U393" t="s">
        <v>39</v>
      </c>
    </row>
    <row r="394" spans="1:21" x14ac:dyDescent="0.35">
      <c r="A394" t="s">
        <v>508</v>
      </c>
      <c r="B394" s="1">
        <v>44896</v>
      </c>
      <c r="C394">
        <v>2022</v>
      </c>
      <c r="D394" t="s">
        <v>91</v>
      </c>
      <c r="E394" t="s">
        <v>92</v>
      </c>
      <c r="F394" t="s">
        <v>24</v>
      </c>
      <c r="G394" t="s">
        <v>93</v>
      </c>
      <c r="H394" t="s">
        <v>26</v>
      </c>
      <c r="I394" t="s">
        <v>27</v>
      </c>
      <c r="J394" t="s">
        <v>28</v>
      </c>
      <c r="K394" t="s">
        <v>68</v>
      </c>
      <c r="L394" t="s">
        <v>49</v>
      </c>
      <c r="M394">
        <v>20</v>
      </c>
      <c r="N394">
        <v>8.99</v>
      </c>
      <c r="O394">
        <v>179.8</v>
      </c>
      <c r="P394">
        <v>0.08</v>
      </c>
      <c r="Q394">
        <v>14.38</v>
      </c>
      <c r="R394">
        <v>165.42</v>
      </c>
      <c r="S394">
        <v>13.23</v>
      </c>
      <c r="T394">
        <v>178.65</v>
      </c>
      <c r="U394" t="s">
        <v>39</v>
      </c>
    </row>
    <row r="395" spans="1:21" x14ac:dyDescent="0.35">
      <c r="A395" t="s">
        <v>509</v>
      </c>
      <c r="B395" s="1">
        <v>44896</v>
      </c>
      <c r="C395">
        <v>2022</v>
      </c>
      <c r="D395" t="s">
        <v>51</v>
      </c>
      <c r="E395" t="s">
        <v>52</v>
      </c>
      <c r="F395" t="s">
        <v>24</v>
      </c>
      <c r="G395" t="s">
        <v>53</v>
      </c>
      <c r="H395" t="s">
        <v>26</v>
      </c>
      <c r="I395" t="s">
        <v>27</v>
      </c>
      <c r="J395" t="s">
        <v>28</v>
      </c>
      <c r="K395" t="s">
        <v>48</v>
      </c>
      <c r="L395" t="s">
        <v>30</v>
      </c>
      <c r="M395">
        <v>9</v>
      </c>
      <c r="N395">
        <v>8.99</v>
      </c>
      <c r="O395">
        <v>80.91</v>
      </c>
      <c r="P395">
        <v>0</v>
      </c>
      <c r="Q395">
        <v>0</v>
      </c>
      <c r="R395">
        <v>80.91</v>
      </c>
      <c r="S395">
        <v>6.47</v>
      </c>
      <c r="T395">
        <v>87.38</v>
      </c>
      <c r="U395" t="s">
        <v>39</v>
      </c>
    </row>
    <row r="396" spans="1:21" x14ac:dyDescent="0.35">
      <c r="A396" t="s">
        <v>510</v>
      </c>
      <c r="B396" s="1">
        <v>44898</v>
      </c>
      <c r="C396">
        <v>2022</v>
      </c>
      <c r="D396" t="s">
        <v>22</v>
      </c>
      <c r="E396" t="s">
        <v>23</v>
      </c>
      <c r="F396" t="s">
        <v>24</v>
      </c>
      <c r="G396" t="s">
        <v>25</v>
      </c>
      <c r="H396" t="s">
        <v>26</v>
      </c>
      <c r="I396" t="s">
        <v>27</v>
      </c>
      <c r="J396" t="s">
        <v>28</v>
      </c>
      <c r="K396" t="s">
        <v>68</v>
      </c>
      <c r="L396" t="s">
        <v>49</v>
      </c>
      <c r="M396">
        <v>24</v>
      </c>
      <c r="N396">
        <v>8.99</v>
      </c>
      <c r="O396">
        <v>215.76</v>
      </c>
      <c r="P396">
        <v>0.08</v>
      </c>
      <c r="Q396">
        <v>17.260000000000002</v>
      </c>
      <c r="R396">
        <v>198.5</v>
      </c>
      <c r="S396">
        <v>15.88</v>
      </c>
      <c r="T396">
        <v>214.38</v>
      </c>
      <c r="U396" t="s">
        <v>39</v>
      </c>
    </row>
    <row r="397" spans="1:21" x14ac:dyDescent="0.35">
      <c r="A397" t="s">
        <v>511</v>
      </c>
      <c r="B397" s="1">
        <v>44899</v>
      </c>
      <c r="C397">
        <v>2022</v>
      </c>
      <c r="D397" t="s">
        <v>75</v>
      </c>
      <c r="E397" t="s">
        <v>76</v>
      </c>
      <c r="F397" t="s">
        <v>64</v>
      </c>
      <c r="G397" t="s">
        <v>77</v>
      </c>
      <c r="H397" t="s">
        <v>84</v>
      </c>
      <c r="I397" t="s">
        <v>85</v>
      </c>
      <c r="J397" t="s">
        <v>47</v>
      </c>
      <c r="K397" t="s">
        <v>48</v>
      </c>
      <c r="L397" t="s">
        <v>30</v>
      </c>
      <c r="M397">
        <v>6</v>
      </c>
      <c r="N397">
        <v>249.99</v>
      </c>
      <c r="O397">
        <v>1499.94</v>
      </c>
      <c r="P397">
        <v>0</v>
      </c>
      <c r="Q397">
        <v>0</v>
      </c>
      <c r="R397">
        <v>1499.94</v>
      </c>
      <c r="S397">
        <v>120</v>
      </c>
      <c r="T397">
        <v>1619.94</v>
      </c>
      <c r="U397" t="s">
        <v>39</v>
      </c>
    </row>
    <row r="398" spans="1:21" x14ac:dyDescent="0.35">
      <c r="A398" t="s">
        <v>512</v>
      </c>
      <c r="B398" s="1">
        <v>44900</v>
      </c>
      <c r="C398">
        <v>2022</v>
      </c>
      <c r="D398" t="s">
        <v>51</v>
      </c>
      <c r="E398" t="s">
        <v>52</v>
      </c>
      <c r="F398" t="s">
        <v>24</v>
      </c>
      <c r="G398" t="s">
        <v>53</v>
      </c>
      <c r="H398" t="s">
        <v>54</v>
      </c>
      <c r="I398" t="s">
        <v>55</v>
      </c>
      <c r="J398" t="s">
        <v>56</v>
      </c>
      <c r="K398" t="s">
        <v>37</v>
      </c>
      <c r="L398" t="s">
        <v>69</v>
      </c>
      <c r="M398">
        <v>11</v>
      </c>
      <c r="N398">
        <v>39.99</v>
      </c>
      <c r="O398">
        <v>439.89</v>
      </c>
      <c r="P398">
        <v>0.05</v>
      </c>
      <c r="Q398">
        <v>21.99</v>
      </c>
      <c r="R398">
        <v>417.9</v>
      </c>
      <c r="S398">
        <v>33.43</v>
      </c>
      <c r="T398">
        <v>451.33</v>
      </c>
      <c r="U398" t="s">
        <v>39</v>
      </c>
    </row>
    <row r="399" spans="1:21" x14ac:dyDescent="0.35">
      <c r="A399" t="s">
        <v>513</v>
      </c>
      <c r="B399" s="1">
        <v>44901</v>
      </c>
      <c r="C399">
        <v>2022</v>
      </c>
      <c r="D399" t="s">
        <v>75</v>
      </c>
      <c r="E399" t="s">
        <v>76</v>
      </c>
      <c r="F399" t="s">
        <v>64</v>
      </c>
      <c r="G399" t="s">
        <v>77</v>
      </c>
      <c r="H399" t="s">
        <v>78</v>
      </c>
      <c r="I399" t="s">
        <v>79</v>
      </c>
      <c r="J399" t="s">
        <v>28</v>
      </c>
      <c r="K399" t="s">
        <v>48</v>
      </c>
      <c r="L399" t="s">
        <v>73</v>
      </c>
      <c r="M399">
        <v>11</v>
      </c>
      <c r="N399">
        <v>5.99</v>
      </c>
      <c r="O399">
        <v>65.89</v>
      </c>
      <c r="P399">
        <v>0.05</v>
      </c>
      <c r="Q399">
        <v>3.29</v>
      </c>
      <c r="R399">
        <v>62.6</v>
      </c>
      <c r="S399">
        <v>5.01</v>
      </c>
      <c r="T399">
        <v>0</v>
      </c>
      <c r="U399" t="s">
        <v>31</v>
      </c>
    </row>
    <row r="400" spans="1:21" x14ac:dyDescent="0.35">
      <c r="A400" t="s">
        <v>514</v>
      </c>
      <c r="B400" s="1">
        <v>44902</v>
      </c>
      <c r="C400">
        <v>2022</v>
      </c>
      <c r="D400" t="s">
        <v>87</v>
      </c>
      <c r="E400" t="s">
        <v>88</v>
      </c>
      <c r="F400" t="s">
        <v>24</v>
      </c>
      <c r="G400" t="s">
        <v>89</v>
      </c>
      <c r="H400" t="s">
        <v>54</v>
      </c>
      <c r="I400" t="s">
        <v>55</v>
      </c>
      <c r="J400" t="s">
        <v>56</v>
      </c>
      <c r="K400" t="s">
        <v>37</v>
      </c>
      <c r="L400" t="s">
        <v>69</v>
      </c>
      <c r="M400">
        <v>12</v>
      </c>
      <c r="N400">
        <v>39.99</v>
      </c>
      <c r="O400">
        <v>479.88</v>
      </c>
      <c r="P400">
        <v>0.05</v>
      </c>
      <c r="Q400">
        <v>23.99</v>
      </c>
      <c r="R400">
        <v>455.89</v>
      </c>
      <c r="S400">
        <v>36.47</v>
      </c>
      <c r="T400">
        <v>492.36</v>
      </c>
      <c r="U400" t="s">
        <v>39</v>
      </c>
    </row>
    <row r="401" spans="1:21" x14ac:dyDescent="0.35">
      <c r="A401" t="s">
        <v>515</v>
      </c>
      <c r="B401" s="1">
        <v>44906</v>
      </c>
      <c r="C401">
        <v>2022</v>
      </c>
      <c r="D401" t="s">
        <v>51</v>
      </c>
      <c r="E401" t="s">
        <v>52</v>
      </c>
      <c r="F401" t="s">
        <v>24</v>
      </c>
      <c r="G401" t="s">
        <v>53</v>
      </c>
      <c r="H401" t="s">
        <v>45</v>
      </c>
      <c r="I401" t="s">
        <v>46</v>
      </c>
      <c r="J401" t="s">
        <v>47</v>
      </c>
      <c r="K401" t="s">
        <v>60</v>
      </c>
      <c r="L401" t="s">
        <v>69</v>
      </c>
      <c r="M401">
        <v>11</v>
      </c>
      <c r="N401">
        <v>89.99</v>
      </c>
      <c r="O401">
        <v>989.89</v>
      </c>
      <c r="P401">
        <v>0.05</v>
      </c>
      <c r="Q401">
        <v>49.49</v>
      </c>
      <c r="R401">
        <v>940.4</v>
      </c>
      <c r="S401">
        <v>75.23</v>
      </c>
      <c r="T401">
        <v>1015.63</v>
      </c>
      <c r="U401" t="s">
        <v>39</v>
      </c>
    </row>
    <row r="402" spans="1:21" x14ac:dyDescent="0.35">
      <c r="A402" t="s">
        <v>516</v>
      </c>
      <c r="B402" s="1">
        <v>44908</v>
      </c>
      <c r="C402">
        <v>2022</v>
      </c>
      <c r="D402" t="s">
        <v>107</v>
      </c>
      <c r="E402" t="s">
        <v>108</v>
      </c>
      <c r="F402" t="s">
        <v>35</v>
      </c>
      <c r="G402" t="s">
        <v>109</v>
      </c>
      <c r="H402" t="s">
        <v>125</v>
      </c>
      <c r="I402" t="s">
        <v>126</v>
      </c>
      <c r="J402" t="s">
        <v>28</v>
      </c>
      <c r="K402" t="s">
        <v>37</v>
      </c>
      <c r="L402" t="s">
        <v>49</v>
      </c>
      <c r="M402">
        <v>19</v>
      </c>
      <c r="N402">
        <v>79.989999999999995</v>
      </c>
      <c r="O402">
        <v>1519.81</v>
      </c>
      <c r="P402">
        <v>0.05</v>
      </c>
      <c r="Q402">
        <v>75.989999999999995</v>
      </c>
      <c r="R402">
        <v>1443.82</v>
      </c>
      <c r="S402">
        <v>115.51</v>
      </c>
      <c r="T402">
        <v>1559.33</v>
      </c>
      <c r="U402" t="s">
        <v>39</v>
      </c>
    </row>
    <row r="403" spans="1:21" x14ac:dyDescent="0.35">
      <c r="A403" t="s">
        <v>517</v>
      </c>
      <c r="B403" s="1">
        <v>44909</v>
      </c>
      <c r="C403">
        <v>2022</v>
      </c>
      <c r="D403" t="s">
        <v>97</v>
      </c>
      <c r="E403" t="s">
        <v>98</v>
      </c>
      <c r="F403" t="s">
        <v>35</v>
      </c>
      <c r="G403" t="s">
        <v>99</v>
      </c>
      <c r="H403" t="s">
        <v>100</v>
      </c>
      <c r="I403" t="s">
        <v>101</v>
      </c>
      <c r="J403" t="s">
        <v>47</v>
      </c>
      <c r="K403" t="s">
        <v>60</v>
      </c>
      <c r="L403" t="s">
        <v>69</v>
      </c>
      <c r="M403">
        <v>22</v>
      </c>
      <c r="N403">
        <v>29.99</v>
      </c>
      <c r="O403">
        <v>659.78</v>
      </c>
      <c r="P403">
        <v>0.08</v>
      </c>
      <c r="Q403">
        <v>52.78</v>
      </c>
      <c r="R403">
        <v>607</v>
      </c>
      <c r="S403">
        <v>48.56</v>
      </c>
      <c r="T403">
        <v>655.56</v>
      </c>
      <c r="U403" t="s">
        <v>39</v>
      </c>
    </row>
    <row r="404" spans="1:21" x14ac:dyDescent="0.35">
      <c r="A404" t="s">
        <v>518</v>
      </c>
      <c r="B404" s="1">
        <v>44909</v>
      </c>
      <c r="C404">
        <v>2022</v>
      </c>
      <c r="D404" t="s">
        <v>97</v>
      </c>
      <c r="E404" t="s">
        <v>98</v>
      </c>
      <c r="F404" t="s">
        <v>35</v>
      </c>
      <c r="G404" t="s">
        <v>99</v>
      </c>
      <c r="H404" t="s">
        <v>84</v>
      </c>
      <c r="I404" t="s">
        <v>85</v>
      </c>
      <c r="J404" t="s">
        <v>47</v>
      </c>
      <c r="K404" t="s">
        <v>68</v>
      </c>
      <c r="L404" t="s">
        <v>49</v>
      </c>
      <c r="M404">
        <v>18</v>
      </c>
      <c r="N404">
        <v>249.99</v>
      </c>
      <c r="O404">
        <v>4499.82</v>
      </c>
      <c r="P404">
        <v>0.05</v>
      </c>
      <c r="Q404">
        <v>224.99</v>
      </c>
      <c r="R404">
        <v>4274.83</v>
      </c>
      <c r="S404">
        <v>341.99</v>
      </c>
      <c r="T404">
        <v>4616.82</v>
      </c>
      <c r="U404" t="s">
        <v>39</v>
      </c>
    </row>
    <row r="405" spans="1:21" x14ac:dyDescent="0.35">
      <c r="A405" t="s">
        <v>519</v>
      </c>
      <c r="B405" s="1">
        <v>44910</v>
      </c>
      <c r="C405">
        <v>2022</v>
      </c>
      <c r="D405" t="s">
        <v>81</v>
      </c>
      <c r="E405" t="s">
        <v>82</v>
      </c>
      <c r="F405" t="s">
        <v>35</v>
      </c>
      <c r="G405" t="s">
        <v>83</v>
      </c>
      <c r="H405" t="s">
        <v>84</v>
      </c>
      <c r="I405" t="s">
        <v>85</v>
      </c>
      <c r="J405" t="s">
        <v>47</v>
      </c>
      <c r="K405" t="s">
        <v>48</v>
      </c>
      <c r="L405" t="s">
        <v>38</v>
      </c>
      <c r="M405">
        <v>27</v>
      </c>
      <c r="N405">
        <v>249.99</v>
      </c>
      <c r="O405">
        <v>6749.73</v>
      </c>
      <c r="P405">
        <v>0.16</v>
      </c>
      <c r="Q405">
        <v>1079.96</v>
      </c>
      <c r="R405">
        <v>5669.77</v>
      </c>
      <c r="S405">
        <v>453.58</v>
      </c>
      <c r="T405">
        <v>6123.35</v>
      </c>
      <c r="U405" t="s">
        <v>39</v>
      </c>
    </row>
    <row r="406" spans="1:21" x14ac:dyDescent="0.35">
      <c r="A406" t="s">
        <v>520</v>
      </c>
      <c r="B406" s="1">
        <v>44912</v>
      </c>
      <c r="C406">
        <v>2022</v>
      </c>
      <c r="D406" t="s">
        <v>122</v>
      </c>
      <c r="E406" t="s">
        <v>123</v>
      </c>
      <c r="F406" t="s">
        <v>64</v>
      </c>
      <c r="G406" t="s">
        <v>124</v>
      </c>
      <c r="H406" t="s">
        <v>54</v>
      </c>
      <c r="I406" t="s">
        <v>55</v>
      </c>
      <c r="J406" t="s">
        <v>56</v>
      </c>
      <c r="K406" t="s">
        <v>37</v>
      </c>
      <c r="L406" t="s">
        <v>73</v>
      </c>
      <c r="M406">
        <v>23</v>
      </c>
      <c r="N406">
        <v>39.99</v>
      </c>
      <c r="O406">
        <v>919.77</v>
      </c>
      <c r="P406">
        <v>0.08</v>
      </c>
      <c r="Q406">
        <v>73.58</v>
      </c>
      <c r="R406">
        <v>846.19</v>
      </c>
      <c r="S406">
        <v>67.7</v>
      </c>
      <c r="T406">
        <v>913.89</v>
      </c>
      <c r="U406" t="s">
        <v>111</v>
      </c>
    </row>
    <row r="407" spans="1:21" x14ac:dyDescent="0.35">
      <c r="A407" t="s">
        <v>521</v>
      </c>
      <c r="B407" s="1">
        <v>44913</v>
      </c>
      <c r="C407">
        <v>2022</v>
      </c>
      <c r="D407" t="s">
        <v>122</v>
      </c>
      <c r="E407" t="s">
        <v>123</v>
      </c>
      <c r="F407" t="s">
        <v>64</v>
      </c>
      <c r="G407" t="s">
        <v>124</v>
      </c>
      <c r="H407" t="s">
        <v>26</v>
      </c>
      <c r="I407" t="s">
        <v>27</v>
      </c>
      <c r="J407" t="s">
        <v>28</v>
      </c>
      <c r="K407" t="s">
        <v>37</v>
      </c>
      <c r="L407" t="s">
        <v>49</v>
      </c>
      <c r="M407">
        <v>5</v>
      </c>
      <c r="N407">
        <v>8.99</v>
      </c>
      <c r="O407">
        <v>44.95</v>
      </c>
      <c r="P407">
        <v>0</v>
      </c>
      <c r="Q407">
        <v>0</v>
      </c>
      <c r="R407">
        <v>44.95</v>
      </c>
      <c r="S407">
        <v>3.6</v>
      </c>
      <c r="T407">
        <v>48.55</v>
      </c>
      <c r="U407" t="s">
        <v>39</v>
      </c>
    </row>
    <row r="408" spans="1:21" x14ac:dyDescent="0.35">
      <c r="A408" t="s">
        <v>522</v>
      </c>
      <c r="B408" s="1">
        <v>44914</v>
      </c>
      <c r="C408">
        <v>2022</v>
      </c>
      <c r="D408" t="s">
        <v>122</v>
      </c>
      <c r="E408" t="s">
        <v>123</v>
      </c>
      <c r="F408" t="s">
        <v>64</v>
      </c>
      <c r="G408" t="s">
        <v>124</v>
      </c>
      <c r="H408" t="s">
        <v>100</v>
      </c>
      <c r="I408" t="s">
        <v>101</v>
      </c>
      <c r="J408" t="s">
        <v>47</v>
      </c>
      <c r="K408" t="s">
        <v>48</v>
      </c>
      <c r="L408" t="s">
        <v>49</v>
      </c>
      <c r="M408">
        <v>28</v>
      </c>
      <c r="N408">
        <v>29.99</v>
      </c>
      <c r="O408">
        <v>839.72</v>
      </c>
      <c r="P408">
        <v>0.08</v>
      </c>
      <c r="Q408">
        <v>67.180000000000007</v>
      </c>
      <c r="R408">
        <v>772.54</v>
      </c>
      <c r="S408">
        <v>61.8</v>
      </c>
      <c r="T408">
        <v>834.34</v>
      </c>
      <c r="U408" t="s">
        <v>111</v>
      </c>
    </row>
    <row r="409" spans="1:21" x14ac:dyDescent="0.35">
      <c r="A409" t="s">
        <v>523</v>
      </c>
      <c r="B409" s="1">
        <v>44919</v>
      </c>
      <c r="C409">
        <v>2022</v>
      </c>
      <c r="D409" t="s">
        <v>62</v>
      </c>
      <c r="E409" t="s">
        <v>63</v>
      </c>
      <c r="F409" t="s">
        <v>64</v>
      </c>
      <c r="G409" t="s">
        <v>65</v>
      </c>
      <c r="H409" t="s">
        <v>45</v>
      </c>
      <c r="I409" t="s">
        <v>46</v>
      </c>
      <c r="J409" t="s">
        <v>47</v>
      </c>
      <c r="K409" t="s">
        <v>29</v>
      </c>
      <c r="L409" t="s">
        <v>49</v>
      </c>
      <c r="M409">
        <v>21</v>
      </c>
      <c r="N409">
        <v>89.99</v>
      </c>
      <c r="O409">
        <v>1889.79</v>
      </c>
      <c r="P409">
        <v>0.08</v>
      </c>
      <c r="Q409">
        <v>151.18</v>
      </c>
      <c r="R409">
        <v>1738.61</v>
      </c>
      <c r="S409">
        <v>139.09</v>
      </c>
      <c r="T409">
        <v>1877.7</v>
      </c>
      <c r="U409" t="s">
        <v>39</v>
      </c>
    </row>
    <row r="410" spans="1:21" x14ac:dyDescent="0.35">
      <c r="A410" t="s">
        <v>524</v>
      </c>
      <c r="B410" s="1">
        <v>44920</v>
      </c>
      <c r="C410">
        <v>2022</v>
      </c>
      <c r="D410" t="s">
        <v>51</v>
      </c>
      <c r="E410" t="s">
        <v>52</v>
      </c>
      <c r="F410" t="s">
        <v>24</v>
      </c>
      <c r="G410" t="s">
        <v>53</v>
      </c>
      <c r="H410" t="s">
        <v>54</v>
      </c>
      <c r="I410" t="s">
        <v>55</v>
      </c>
      <c r="J410" t="s">
        <v>56</v>
      </c>
      <c r="K410" t="s">
        <v>37</v>
      </c>
      <c r="L410" t="s">
        <v>73</v>
      </c>
      <c r="M410">
        <v>23</v>
      </c>
      <c r="N410">
        <v>39.99</v>
      </c>
      <c r="O410">
        <v>919.77</v>
      </c>
      <c r="P410">
        <v>0.08</v>
      </c>
      <c r="Q410">
        <v>73.58</v>
      </c>
      <c r="R410">
        <v>846.19</v>
      </c>
      <c r="S410">
        <v>67.7</v>
      </c>
      <c r="T410">
        <v>913.89</v>
      </c>
      <c r="U410" t="s">
        <v>111</v>
      </c>
    </row>
    <row r="411" spans="1:21" x14ac:dyDescent="0.35">
      <c r="A411" t="s">
        <v>525</v>
      </c>
      <c r="B411" s="1">
        <v>44921</v>
      </c>
      <c r="C411">
        <v>2022</v>
      </c>
      <c r="D411" t="s">
        <v>87</v>
      </c>
      <c r="E411" t="s">
        <v>88</v>
      </c>
      <c r="F411" t="s">
        <v>24</v>
      </c>
      <c r="G411" t="s">
        <v>89</v>
      </c>
      <c r="H411" t="s">
        <v>128</v>
      </c>
      <c r="I411" t="s">
        <v>129</v>
      </c>
      <c r="J411" t="s">
        <v>47</v>
      </c>
      <c r="K411" t="s">
        <v>48</v>
      </c>
      <c r="L411" t="s">
        <v>38</v>
      </c>
      <c r="M411">
        <v>26</v>
      </c>
      <c r="N411">
        <v>399.99</v>
      </c>
      <c r="O411">
        <v>10399.74</v>
      </c>
      <c r="P411">
        <v>0.16</v>
      </c>
      <c r="Q411">
        <v>1663.96</v>
      </c>
      <c r="R411">
        <v>8735.7800000000007</v>
      </c>
      <c r="S411">
        <v>698.86</v>
      </c>
      <c r="T411">
        <v>9434.64</v>
      </c>
      <c r="U411" t="s">
        <v>39</v>
      </c>
    </row>
    <row r="412" spans="1:21" x14ac:dyDescent="0.35">
      <c r="A412" t="s">
        <v>526</v>
      </c>
      <c r="B412" s="1">
        <v>44921</v>
      </c>
      <c r="C412">
        <v>2022</v>
      </c>
      <c r="D412" t="s">
        <v>186</v>
      </c>
      <c r="E412" t="s">
        <v>187</v>
      </c>
      <c r="F412" t="s">
        <v>43</v>
      </c>
      <c r="G412" t="s">
        <v>188</v>
      </c>
      <c r="H412" t="s">
        <v>71</v>
      </c>
      <c r="I412" t="s">
        <v>72</v>
      </c>
      <c r="J412" t="s">
        <v>47</v>
      </c>
      <c r="K412" t="s">
        <v>37</v>
      </c>
      <c r="L412" t="s">
        <v>69</v>
      </c>
      <c r="M412">
        <v>9</v>
      </c>
      <c r="N412">
        <v>1199.99</v>
      </c>
      <c r="O412">
        <v>10799.91</v>
      </c>
      <c r="P412">
        <v>0</v>
      </c>
      <c r="Q412">
        <v>0</v>
      </c>
      <c r="R412">
        <v>10799.91</v>
      </c>
      <c r="S412">
        <v>863.99</v>
      </c>
      <c r="T412">
        <v>11663.9</v>
      </c>
      <c r="U412" t="s">
        <v>39</v>
      </c>
    </row>
    <row r="413" spans="1:21" x14ac:dyDescent="0.35">
      <c r="A413" t="s">
        <v>527</v>
      </c>
      <c r="B413" s="1">
        <v>44922</v>
      </c>
      <c r="C413">
        <v>2022</v>
      </c>
      <c r="D413" t="s">
        <v>122</v>
      </c>
      <c r="E413" t="s">
        <v>123</v>
      </c>
      <c r="F413" t="s">
        <v>64</v>
      </c>
      <c r="G413" t="s">
        <v>124</v>
      </c>
      <c r="H413" t="s">
        <v>78</v>
      </c>
      <c r="I413" t="s">
        <v>79</v>
      </c>
      <c r="J413" t="s">
        <v>28</v>
      </c>
      <c r="K413" t="s">
        <v>29</v>
      </c>
      <c r="L413" t="s">
        <v>73</v>
      </c>
      <c r="M413">
        <v>18</v>
      </c>
      <c r="N413">
        <v>5.99</v>
      </c>
      <c r="O413">
        <v>107.82</v>
      </c>
      <c r="P413">
        <v>0.05</v>
      </c>
      <c r="Q413">
        <v>5.39</v>
      </c>
      <c r="R413">
        <v>102.43</v>
      </c>
      <c r="S413">
        <v>8.19</v>
      </c>
      <c r="T413">
        <v>110.62</v>
      </c>
      <c r="U413" t="s">
        <v>39</v>
      </c>
    </row>
    <row r="414" spans="1:21" x14ac:dyDescent="0.35">
      <c r="A414" t="s">
        <v>528</v>
      </c>
      <c r="B414" s="1">
        <v>44924</v>
      </c>
      <c r="C414">
        <v>2022</v>
      </c>
      <c r="D414" t="s">
        <v>97</v>
      </c>
      <c r="E414" t="s">
        <v>98</v>
      </c>
      <c r="F414" t="s">
        <v>35</v>
      </c>
      <c r="G414" t="s">
        <v>99</v>
      </c>
      <c r="H414" t="s">
        <v>45</v>
      </c>
      <c r="I414" t="s">
        <v>46</v>
      </c>
      <c r="J414" t="s">
        <v>47</v>
      </c>
      <c r="K414" t="s">
        <v>48</v>
      </c>
      <c r="L414" t="s">
        <v>30</v>
      </c>
      <c r="M414">
        <v>16</v>
      </c>
      <c r="N414">
        <v>89.99</v>
      </c>
      <c r="O414">
        <v>1439.84</v>
      </c>
      <c r="P414">
        <v>0.05</v>
      </c>
      <c r="Q414">
        <v>71.989999999999995</v>
      </c>
      <c r="R414">
        <v>1367.85</v>
      </c>
      <c r="S414">
        <v>109.43</v>
      </c>
      <c r="T414">
        <v>0</v>
      </c>
      <c r="U414" t="s">
        <v>31</v>
      </c>
    </row>
    <row r="415" spans="1:21" x14ac:dyDescent="0.35">
      <c r="A415" t="s">
        <v>529</v>
      </c>
      <c r="B415" s="1">
        <v>44928</v>
      </c>
      <c r="C415">
        <v>2023</v>
      </c>
      <c r="D415" t="s">
        <v>41</v>
      </c>
      <c r="E415" t="s">
        <v>42</v>
      </c>
      <c r="F415" t="s">
        <v>43</v>
      </c>
      <c r="G415" t="s">
        <v>44</v>
      </c>
      <c r="H415" t="s">
        <v>54</v>
      </c>
      <c r="I415" t="s">
        <v>55</v>
      </c>
      <c r="J415" t="s">
        <v>56</v>
      </c>
      <c r="K415" t="s">
        <v>37</v>
      </c>
      <c r="L415" t="s">
        <v>69</v>
      </c>
      <c r="M415">
        <v>9</v>
      </c>
      <c r="N415">
        <v>39.99</v>
      </c>
      <c r="O415">
        <v>359.91</v>
      </c>
      <c r="P415">
        <v>0</v>
      </c>
      <c r="Q415">
        <v>0</v>
      </c>
      <c r="R415">
        <v>359.91</v>
      </c>
      <c r="S415">
        <v>28.79</v>
      </c>
      <c r="T415">
        <v>388.7</v>
      </c>
      <c r="U415" t="s">
        <v>39</v>
      </c>
    </row>
    <row r="416" spans="1:21" x14ac:dyDescent="0.35">
      <c r="A416" t="s">
        <v>530</v>
      </c>
      <c r="B416" s="1">
        <v>44928</v>
      </c>
      <c r="C416">
        <v>2023</v>
      </c>
      <c r="D416" t="s">
        <v>186</v>
      </c>
      <c r="E416" t="s">
        <v>187</v>
      </c>
      <c r="F416" t="s">
        <v>43</v>
      </c>
      <c r="G416" t="s">
        <v>188</v>
      </c>
      <c r="H416" t="s">
        <v>125</v>
      </c>
      <c r="I416" t="s">
        <v>126</v>
      </c>
      <c r="J416" t="s">
        <v>28</v>
      </c>
      <c r="K416" t="s">
        <v>68</v>
      </c>
      <c r="L416" t="s">
        <v>73</v>
      </c>
      <c r="M416">
        <v>17</v>
      </c>
      <c r="N416">
        <v>79.989999999999995</v>
      </c>
      <c r="O416">
        <v>1359.83</v>
      </c>
      <c r="P416">
        <v>0.05</v>
      </c>
      <c r="Q416">
        <v>67.989999999999995</v>
      </c>
      <c r="R416">
        <v>1291.8399999999999</v>
      </c>
      <c r="S416">
        <v>103.35</v>
      </c>
      <c r="T416">
        <v>1395.19</v>
      </c>
      <c r="U416" t="s">
        <v>111</v>
      </c>
    </row>
    <row r="417" spans="1:21" x14ac:dyDescent="0.35">
      <c r="A417" t="s">
        <v>531</v>
      </c>
      <c r="B417" s="1">
        <v>44932</v>
      </c>
      <c r="C417">
        <v>2023</v>
      </c>
      <c r="D417" t="s">
        <v>186</v>
      </c>
      <c r="E417" t="s">
        <v>187</v>
      </c>
      <c r="F417" t="s">
        <v>43</v>
      </c>
      <c r="G417" t="s">
        <v>188</v>
      </c>
      <c r="H417" t="s">
        <v>71</v>
      </c>
      <c r="I417" t="s">
        <v>72</v>
      </c>
      <c r="J417" t="s">
        <v>47</v>
      </c>
      <c r="K417" t="s">
        <v>60</v>
      </c>
      <c r="L417" t="s">
        <v>49</v>
      </c>
      <c r="M417">
        <v>4</v>
      </c>
      <c r="N417">
        <v>1199.99</v>
      </c>
      <c r="O417">
        <v>4799.96</v>
      </c>
      <c r="P417">
        <v>0</v>
      </c>
      <c r="Q417">
        <v>0</v>
      </c>
      <c r="R417">
        <v>4799.96</v>
      </c>
      <c r="S417">
        <v>384</v>
      </c>
      <c r="T417">
        <v>5183.96</v>
      </c>
      <c r="U417" t="s">
        <v>39</v>
      </c>
    </row>
    <row r="418" spans="1:21" x14ac:dyDescent="0.35">
      <c r="A418" t="s">
        <v>532</v>
      </c>
      <c r="B418" s="1">
        <v>44933</v>
      </c>
      <c r="C418">
        <v>2023</v>
      </c>
      <c r="D418" t="s">
        <v>41</v>
      </c>
      <c r="E418" t="s">
        <v>42</v>
      </c>
      <c r="F418" t="s">
        <v>43</v>
      </c>
      <c r="G418" t="s">
        <v>44</v>
      </c>
      <c r="H418" t="s">
        <v>94</v>
      </c>
      <c r="I418" t="s">
        <v>95</v>
      </c>
      <c r="J418" t="s">
        <v>56</v>
      </c>
      <c r="K418" t="s">
        <v>48</v>
      </c>
      <c r="L418" t="s">
        <v>69</v>
      </c>
      <c r="M418">
        <v>29</v>
      </c>
      <c r="N418">
        <v>349.99</v>
      </c>
      <c r="O418">
        <v>10149.709999999999</v>
      </c>
      <c r="P418">
        <v>0.08</v>
      </c>
      <c r="Q418">
        <v>811.98</v>
      </c>
      <c r="R418">
        <v>9337.73</v>
      </c>
      <c r="S418">
        <v>747.02</v>
      </c>
      <c r="T418">
        <v>0</v>
      </c>
      <c r="U418" t="s">
        <v>31</v>
      </c>
    </row>
    <row r="419" spans="1:21" x14ac:dyDescent="0.35">
      <c r="A419" t="s">
        <v>533</v>
      </c>
      <c r="B419" s="1">
        <v>44935</v>
      </c>
      <c r="C419">
        <v>2023</v>
      </c>
      <c r="D419" t="s">
        <v>91</v>
      </c>
      <c r="E419" t="s">
        <v>92</v>
      </c>
      <c r="F419" t="s">
        <v>24</v>
      </c>
      <c r="G419" t="s">
        <v>93</v>
      </c>
      <c r="H419" t="s">
        <v>71</v>
      </c>
      <c r="I419" t="s">
        <v>72</v>
      </c>
      <c r="J419" t="s">
        <v>47</v>
      </c>
      <c r="K419" t="s">
        <v>48</v>
      </c>
      <c r="L419" t="s">
        <v>30</v>
      </c>
      <c r="M419">
        <v>1</v>
      </c>
      <c r="N419">
        <v>1199.99</v>
      </c>
      <c r="O419">
        <v>1199.99</v>
      </c>
      <c r="P419">
        <v>0</v>
      </c>
      <c r="Q419">
        <v>0</v>
      </c>
      <c r="R419">
        <v>1199.99</v>
      </c>
      <c r="S419">
        <v>96</v>
      </c>
      <c r="T419">
        <v>1295.99</v>
      </c>
      <c r="U419" t="s">
        <v>39</v>
      </c>
    </row>
    <row r="420" spans="1:21" x14ac:dyDescent="0.35">
      <c r="A420" t="s">
        <v>534</v>
      </c>
      <c r="B420" s="1">
        <v>44938</v>
      </c>
      <c r="C420">
        <v>2023</v>
      </c>
      <c r="D420" t="s">
        <v>33</v>
      </c>
      <c r="E420" t="s">
        <v>34</v>
      </c>
      <c r="F420" t="s">
        <v>35</v>
      </c>
      <c r="G420" t="s">
        <v>36</v>
      </c>
      <c r="H420" t="s">
        <v>26</v>
      </c>
      <c r="I420" t="s">
        <v>27</v>
      </c>
      <c r="J420" t="s">
        <v>28</v>
      </c>
      <c r="K420" t="s">
        <v>37</v>
      </c>
      <c r="L420" t="s">
        <v>69</v>
      </c>
      <c r="M420">
        <v>4</v>
      </c>
      <c r="N420">
        <v>8.99</v>
      </c>
      <c r="O420">
        <v>35.96</v>
      </c>
      <c r="P420">
        <v>0</v>
      </c>
      <c r="Q420">
        <v>0</v>
      </c>
      <c r="R420">
        <v>35.96</v>
      </c>
      <c r="S420">
        <v>2.88</v>
      </c>
      <c r="T420">
        <v>38.840000000000003</v>
      </c>
      <c r="U420" t="s">
        <v>111</v>
      </c>
    </row>
    <row r="421" spans="1:21" x14ac:dyDescent="0.35">
      <c r="A421" t="s">
        <v>535</v>
      </c>
      <c r="B421" s="1">
        <v>44939</v>
      </c>
      <c r="C421">
        <v>2023</v>
      </c>
      <c r="D421" t="s">
        <v>22</v>
      </c>
      <c r="E421" t="s">
        <v>23</v>
      </c>
      <c r="F421" t="s">
        <v>24</v>
      </c>
      <c r="G421" t="s">
        <v>25</v>
      </c>
      <c r="H421" t="s">
        <v>128</v>
      </c>
      <c r="I421" t="s">
        <v>129</v>
      </c>
      <c r="J421" t="s">
        <v>47</v>
      </c>
      <c r="K421" t="s">
        <v>48</v>
      </c>
      <c r="L421" t="s">
        <v>30</v>
      </c>
      <c r="M421">
        <v>12</v>
      </c>
      <c r="N421">
        <v>399.99</v>
      </c>
      <c r="O421">
        <v>4799.88</v>
      </c>
      <c r="P421">
        <v>0.05</v>
      </c>
      <c r="Q421">
        <v>239.99</v>
      </c>
      <c r="R421">
        <v>4559.8900000000003</v>
      </c>
      <c r="S421">
        <v>364.79</v>
      </c>
      <c r="T421">
        <v>4924.68</v>
      </c>
      <c r="U421" t="s">
        <v>39</v>
      </c>
    </row>
    <row r="422" spans="1:21" x14ac:dyDescent="0.35">
      <c r="A422" t="s">
        <v>536</v>
      </c>
      <c r="B422" s="1">
        <v>44943</v>
      </c>
      <c r="C422">
        <v>2023</v>
      </c>
      <c r="D422" t="s">
        <v>107</v>
      </c>
      <c r="E422" t="s">
        <v>108</v>
      </c>
      <c r="F422" t="s">
        <v>35</v>
      </c>
      <c r="G422" t="s">
        <v>109</v>
      </c>
      <c r="H422" t="s">
        <v>84</v>
      </c>
      <c r="I422" t="s">
        <v>85</v>
      </c>
      <c r="J422" t="s">
        <v>47</v>
      </c>
      <c r="K422" t="s">
        <v>37</v>
      </c>
      <c r="L422" t="s">
        <v>30</v>
      </c>
      <c r="M422">
        <v>22</v>
      </c>
      <c r="N422">
        <v>249.99</v>
      </c>
      <c r="O422">
        <v>5499.78</v>
      </c>
      <c r="P422">
        <v>0.08</v>
      </c>
      <c r="Q422">
        <v>439.98</v>
      </c>
      <c r="R422">
        <v>5059.8</v>
      </c>
      <c r="S422">
        <v>404.78</v>
      </c>
      <c r="T422">
        <v>0</v>
      </c>
      <c r="U422" t="s">
        <v>31</v>
      </c>
    </row>
    <row r="423" spans="1:21" x14ac:dyDescent="0.35">
      <c r="A423" t="s">
        <v>537</v>
      </c>
      <c r="B423" s="1">
        <v>44947</v>
      </c>
      <c r="C423">
        <v>2023</v>
      </c>
      <c r="D423" t="s">
        <v>186</v>
      </c>
      <c r="E423" t="s">
        <v>187</v>
      </c>
      <c r="F423" t="s">
        <v>43</v>
      </c>
      <c r="G423" t="s">
        <v>188</v>
      </c>
      <c r="H423" t="s">
        <v>71</v>
      </c>
      <c r="I423" t="s">
        <v>72</v>
      </c>
      <c r="J423" t="s">
        <v>47</v>
      </c>
      <c r="K423" t="s">
        <v>68</v>
      </c>
      <c r="L423" t="s">
        <v>69</v>
      </c>
      <c r="M423">
        <v>7</v>
      </c>
      <c r="N423">
        <v>1199.99</v>
      </c>
      <c r="O423">
        <v>8399.93</v>
      </c>
      <c r="P423">
        <v>0</v>
      </c>
      <c r="Q423">
        <v>0</v>
      </c>
      <c r="R423">
        <v>8399.93</v>
      </c>
      <c r="S423">
        <v>671.99</v>
      </c>
      <c r="T423">
        <v>9071.92</v>
      </c>
      <c r="U423" t="s">
        <v>39</v>
      </c>
    </row>
    <row r="424" spans="1:21" x14ac:dyDescent="0.35">
      <c r="A424" t="s">
        <v>538</v>
      </c>
      <c r="B424" s="1">
        <v>44948</v>
      </c>
      <c r="C424">
        <v>2023</v>
      </c>
      <c r="D424" t="s">
        <v>33</v>
      </c>
      <c r="E424" t="s">
        <v>34</v>
      </c>
      <c r="F424" t="s">
        <v>35</v>
      </c>
      <c r="G424" t="s">
        <v>36</v>
      </c>
      <c r="H424" t="s">
        <v>45</v>
      </c>
      <c r="I424" t="s">
        <v>46</v>
      </c>
      <c r="J424" t="s">
        <v>47</v>
      </c>
      <c r="K424" t="s">
        <v>37</v>
      </c>
      <c r="L424" t="s">
        <v>30</v>
      </c>
      <c r="M424">
        <v>18</v>
      </c>
      <c r="N424">
        <v>89.99</v>
      </c>
      <c r="O424">
        <v>1619.82</v>
      </c>
      <c r="P424">
        <v>0.05</v>
      </c>
      <c r="Q424">
        <v>80.989999999999995</v>
      </c>
      <c r="R424">
        <v>1538.83</v>
      </c>
      <c r="S424">
        <v>123.11</v>
      </c>
      <c r="T424">
        <v>1661.94</v>
      </c>
      <c r="U424" t="s">
        <v>39</v>
      </c>
    </row>
    <row r="425" spans="1:21" x14ac:dyDescent="0.35">
      <c r="A425" t="s">
        <v>539</v>
      </c>
      <c r="B425" s="1">
        <v>44951</v>
      </c>
      <c r="C425">
        <v>2023</v>
      </c>
      <c r="D425" t="s">
        <v>91</v>
      </c>
      <c r="E425" t="s">
        <v>92</v>
      </c>
      <c r="F425" t="s">
        <v>24</v>
      </c>
      <c r="G425" t="s">
        <v>93</v>
      </c>
      <c r="H425" t="s">
        <v>45</v>
      </c>
      <c r="I425" t="s">
        <v>46</v>
      </c>
      <c r="J425" t="s">
        <v>47</v>
      </c>
      <c r="K425" t="s">
        <v>60</v>
      </c>
      <c r="L425" t="s">
        <v>30</v>
      </c>
      <c r="M425">
        <v>23</v>
      </c>
      <c r="N425">
        <v>89.99</v>
      </c>
      <c r="O425">
        <v>2069.77</v>
      </c>
      <c r="P425">
        <v>0.08</v>
      </c>
      <c r="Q425">
        <v>165.58</v>
      </c>
      <c r="R425">
        <v>1904.19</v>
      </c>
      <c r="S425">
        <v>152.34</v>
      </c>
      <c r="T425">
        <v>2056.5300000000002</v>
      </c>
      <c r="U425" t="s">
        <v>111</v>
      </c>
    </row>
    <row r="426" spans="1:21" x14ac:dyDescent="0.35">
      <c r="A426" t="s">
        <v>540</v>
      </c>
      <c r="B426" s="1">
        <v>44951</v>
      </c>
      <c r="C426">
        <v>2023</v>
      </c>
      <c r="D426" t="s">
        <v>81</v>
      </c>
      <c r="E426" t="s">
        <v>82</v>
      </c>
      <c r="F426" t="s">
        <v>35</v>
      </c>
      <c r="G426" t="s">
        <v>83</v>
      </c>
      <c r="H426" t="s">
        <v>125</v>
      </c>
      <c r="I426" t="s">
        <v>126</v>
      </c>
      <c r="J426" t="s">
        <v>28</v>
      </c>
      <c r="K426" t="s">
        <v>29</v>
      </c>
      <c r="L426" t="s">
        <v>38</v>
      </c>
      <c r="M426">
        <v>16</v>
      </c>
      <c r="N426">
        <v>79.989999999999995</v>
      </c>
      <c r="O426">
        <v>1279.8399999999999</v>
      </c>
      <c r="P426">
        <v>0.13</v>
      </c>
      <c r="Q426">
        <v>166.38</v>
      </c>
      <c r="R426">
        <v>1113.46</v>
      </c>
      <c r="S426">
        <v>89.08</v>
      </c>
      <c r="T426">
        <v>0</v>
      </c>
      <c r="U426" t="s">
        <v>31</v>
      </c>
    </row>
    <row r="427" spans="1:21" x14ac:dyDescent="0.35">
      <c r="A427" t="s">
        <v>541</v>
      </c>
      <c r="B427" s="1">
        <v>44954</v>
      </c>
      <c r="C427">
        <v>2023</v>
      </c>
      <c r="D427" t="s">
        <v>81</v>
      </c>
      <c r="E427" t="s">
        <v>82</v>
      </c>
      <c r="F427" t="s">
        <v>35</v>
      </c>
      <c r="G427" t="s">
        <v>83</v>
      </c>
      <c r="H427" t="s">
        <v>66</v>
      </c>
      <c r="I427" t="s">
        <v>67</v>
      </c>
      <c r="J427" t="s">
        <v>56</v>
      </c>
      <c r="K427" t="s">
        <v>68</v>
      </c>
      <c r="L427" t="s">
        <v>30</v>
      </c>
      <c r="M427">
        <v>12</v>
      </c>
      <c r="N427">
        <v>229.99</v>
      </c>
      <c r="O427">
        <v>2759.88</v>
      </c>
      <c r="P427">
        <v>0.05</v>
      </c>
      <c r="Q427">
        <v>137.99</v>
      </c>
      <c r="R427">
        <v>2621.89</v>
      </c>
      <c r="S427">
        <v>209.75</v>
      </c>
      <c r="T427">
        <v>2831.64</v>
      </c>
      <c r="U427" t="s">
        <v>111</v>
      </c>
    </row>
    <row r="428" spans="1:21" x14ac:dyDescent="0.35">
      <c r="A428" t="s">
        <v>542</v>
      </c>
      <c r="B428" s="1">
        <v>44955</v>
      </c>
      <c r="C428">
        <v>2023</v>
      </c>
      <c r="D428" t="s">
        <v>186</v>
      </c>
      <c r="E428" t="s">
        <v>187</v>
      </c>
      <c r="F428" t="s">
        <v>43</v>
      </c>
      <c r="G428" t="s">
        <v>188</v>
      </c>
      <c r="H428" t="s">
        <v>78</v>
      </c>
      <c r="I428" t="s">
        <v>79</v>
      </c>
      <c r="J428" t="s">
        <v>28</v>
      </c>
      <c r="K428" t="s">
        <v>60</v>
      </c>
      <c r="L428" t="s">
        <v>69</v>
      </c>
      <c r="M428">
        <v>15</v>
      </c>
      <c r="N428">
        <v>5.99</v>
      </c>
      <c r="O428">
        <v>89.85</v>
      </c>
      <c r="P428">
        <v>0.05</v>
      </c>
      <c r="Q428">
        <v>4.49</v>
      </c>
      <c r="R428">
        <v>85.36</v>
      </c>
      <c r="S428">
        <v>6.83</v>
      </c>
      <c r="T428">
        <v>0</v>
      </c>
      <c r="U428" t="s">
        <v>31</v>
      </c>
    </row>
    <row r="429" spans="1:21" x14ac:dyDescent="0.35">
      <c r="A429" t="s">
        <v>543</v>
      </c>
      <c r="B429" s="1">
        <v>44956</v>
      </c>
      <c r="C429">
        <v>2023</v>
      </c>
      <c r="D429" t="s">
        <v>75</v>
      </c>
      <c r="E429" t="s">
        <v>76</v>
      </c>
      <c r="F429" t="s">
        <v>64</v>
      </c>
      <c r="G429" t="s">
        <v>77</v>
      </c>
      <c r="H429" t="s">
        <v>128</v>
      </c>
      <c r="I429" t="s">
        <v>129</v>
      </c>
      <c r="J429" t="s">
        <v>47</v>
      </c>
      <c r="K429" t="s">
        <v>48</v>
      </c>
      <c r="L429" t="s">
        <v>38</v>
      </c>
      <c r="M429">
        <v>19</v>
      </c>
      <c r="N429">
        <v>399.99</v>
      </c>
      <c r="O429">
        <v>7599.81</v>
      </c>
      <c r="P429">
        <v>0.13</v>
      </c>
      <c r="Q429">
        <v>987.98</v>
      </c>
      <c r="R429">
        <v>6611.83</v>
      </c>
      <c r="S429">
        <v>528.95000000000005</v>
      </c>
      <c r="T429">
        <v>7140.78</v>
      </c>
      <c r="U429" t="s">
        <v>39</v>
      </c>
    </row>
    <row r="430" spans="1:21" x14ac:dyDescent="0.35">
      <c r="A430" t="s">
        <v>544</v>
      </c>
      <c r="B430" s="1">
        <v>44957</v>
      </c>
      <c r="C430">
        <v>2023</v>
      </c>
      <c r="D430" t="s">
        <v>87</v>
      </c>
      <c r="E430" t="s">
        <v>88</v>
      </c>
      <c r="F430" t="s">
        <v>24</v>
      </c>
      <c r="G430" t="s">
        <v>89</v>
      </c>
      <c r="H430" t="s">
        <v>104</v>
      </c>
      <c r="I430" t="s">
        <v>105</v>
      </c>
      <c r="J430" t="s">
        <v>47</v>
      </c>
      <c r="K430" t="s">
        <v>68</v>
      </c>
      <c r="L430" t="s">
        <v>73</v>
      </c>
      <c r="M430">
        <v>30</v>
      </c>
      <c r="N430">
        <v>479.99</v>
      </c>
      <c r="O430">
        <v>14399.7</v>
      </c>
      <c r="P430">
        <v>0.08</v>
      </c>
      <c r="Q430">
        <v>1151.98</v>
      </c>
      <c r="R430">
        <v>13247.72</v>
      </c>
      <c r="S430">
        <v>1059.82</v>
      </c>
      <c r="T430">
        <v>14307.54</v>
      </c>
      <c r="U430" t="s">
        <v>39</v>
      </c>
    </row>
    <row r="431" spans="1:21" x14ac:dyDescent="0.35">
      <c r="A431" t="s">
        <v>545</v>
      </c>
      <c r="B431" s="1">
        <v>44958</v>
      </c>
      <c r="C431">
        <v>2023</v>
      </c>
      <c r="D431" t="s">
        <v>81</v>
      </c>
      <c r="E431" t="s">
        <v>82</v>
      </c>
      <c r="F431" t="s">
        <v>35</v>
      </c>
      <c r="G431" t="s">
        <v>83</v>
      </c>
      <c r="H431" t="s">
        <v>54</v>
      </c>
      <c r="I431" t="s">
        <v>55</v>
      </c>
      <c r="J431" t="s">
        <v>56</v>
      </c>
      <c r="K431" t="s">
        <v>37</v>
      </c>
      <c r="L431" t="s">
        <v>69</v>
      </c>
      <c r="M431">
        <v>4</v>
      </c>
      <c r="N431">
        <v>39.99</v>
      </c>
      <c r="O431">
        <v>159.96</v>
      </c>
      <c r="P431">
        <v>0</v>
      </c>
      <c r="Q431">
        <v>0</v>
      </c>
      <c r="R431">
        <v>159.96</v>
      </c>
      <c r="S431">
        <v>12.8</v>
      </c>
      <c r="T431">
        <v>0</v>
      </c>
      <c r="U431" t="s">
        <v>31</v>
      </c>
    </row>
    <row r="432" spans="1:21" x14ac:dyDescent="0.35">
      <c r="A432" t="s">
        <v>546</v>
      </c>
      <c r="B432" s="1">
        <v>44964</v>
      </c>
      <c r="C432">
        <v>2023</v>
      </c>
      <c r="D432" t="s">
        <v>51</v>
      </c>
      <c r="E432" t="s">
        <v>52</v>
      </c>
      <c r="F432" t="s">
        <v>24</v>
      </c>
      <c r="G432" t="s">
        <v>53</v>
      </c>
      <c r="H432" t="s">
        <v>71</v>
      </c>
      <c r="I432" t="s">
        <v>72</v>
      </c>
      <c r="J432" t="s">
        <v>47</v>
      </c>
      <c r="K432" t="s">
        <v>60</v>
      </c>
      <c r="L432" t="s">
        <v>30</v>
      </c>
      <c r="M432">
        <v>2</v>
      </c>
      <c r="N432">
        <v>1199.99</v>
      </c>
      <c r="O432">
        <v>2399.98</v>
      </c>
      <c r="P432">
        <v>0</v>
      </c>
      <c r="Q432">
        <v>0</v>
      </c>
      <c r="R432">
        <v>2399.98</v>
      </c>
      <c r="S432">
        <v>192</v>
      </c>
      <c r="T432">
        <v>0</v>
      </c>
      <c r="U432" t="s">
        <v>31</v>
      </c>
    </row>
    <row r="433" spans="1:21" x14ac:dyDescent="0.35">
      <c r="A433" t="s">
        <v>547</v>
      </c>
      <c r="B433" s="1">
        <v>44964</v>
      </c>
      <c r="C433">
        <v>2023</v>
      </c>
      <c r="D433" t="s">
        <v>97</v>
      </c>
      <c r="E433" t="s">
        <v>98</v>
      </c>
      <c r="F433" t="s">
        <v>35</v>
      </c>
      <c r="G433" t="s">
        <v>99</v>
      </c>
      <c r="H433" t="s">
        <v>145</v>
      </c>
      <c r="I433" t="s">
        <v>146</v>
      </c>
      <c r="J433" t="s">
        <v>47</v>
      </c>
      <c r="K433" t="s">
        <v>48</v>
      </c>
      <c r="L433" t="s">
        <v>73</v>
      </c>
      <c r="M433">
        <v>25</v>
      </c>
      <c r="N433">
        <v>129.99</v>
      </c>
      <c r="O433">
        <v>3249.75</v>
      </c>
      <c r="P433">
        <v>0.08</v>
      </c>
      <c r="Q433">
        <v>259.98</v>
      </c>
      <c r="R433">
        <v>2989.77</v>
      </c>
      <c r="S433">
        <v>239.18</v>
      </c>
      <c r="T433">
        <v>3228.95</v>
      </c>
      <c r="U433" t="s">
        <v>39</v>
      </c>
    </row>
    <row r="434" spans="1:21" x14ac:dyDescent="0.35">
      <c r="A434" t="s">
        <v>548</v>
      </c>
      <c r="B434" s="1">
        <v>44965</v>
      </c>
      <c r="C434">
        <v>2023</v>
      </c>
      <c r="D434" t="s">
        <v>186</v>
      </c>
      <c r="E434" t="s">
        <v>187</v>
      </c>
      <c r="F434" t="s">
        <v>43</v>
      </c>
      <c r="G434" t="s">
        <v>188</v>
      </c>
      <c r="H434" t="s">
        <v>125</v>
      </c>
      <c r="I434" t="s">
        <v>126</v>
      </c>
      <c r="J434" t="s">
        <v>28</v>
      </c>
      <c r="K434" t="s">
        <v>60</v>
      </c>
      <c r="L434" t="s">
        <v>49</v>
      </c>
      <c r="M434">
        <v>30</v>
      </c>
      <c r="N434">
        <v>79.989999999999995</v>
      </c>
      <c r="O434">
        <v>2399.6999999999998</v>
      </c>
      <c r="P434">
        <v>0.08</v>
      </c>
      <c r="Q434">
        <v>191.98</v>
      </c>
      <c r="R434">
        <v>2207.7199999999998</v>
      </c>
      <c r="S434">
        <v>176.62</v>
      </c>
      <c r="T434">
        <v>2384.34</v>
      </c>
      <c r="U434" t="s">
        <v>39</v>
      </c>
    </row>
    <row r="435" spans="1:21" x14ac:dyDescent="0.35">
      <c r="A435" t="s">
        <v>549</v>
      </c>
      <c r="B435" s="1">
        <v>44968</v>
      </c>
      <c r="C435">
        <v>2023</v>
      </c>
      <c r="D435" t="s">
        <v>186</v>
      </c>
      <c r="E435" t="s">
        <v>187</v>
      </c>
      <c r="F435" t="s">
        <v>43</v>
      </c>
      <c r="G435" t="s">
        <v>188</v>
      </c>
      <c r="H435" t="s">
        <v>128</v>
      </c>
      <c r="I435" t="s">
        <v>129</v>
      </c>
      <c r="J435" t="s">
        <v>47</v>
      </c>
      <c r="K435" t="s">
        <v>29</v>
      </c>
      <c r="L435" t="s">
        <v>73</v>
      </c>
      <c r="M435">
        <v>22</v>
      </c>
      <c r="N435">
        <v>399.99</v>
      </c>
      <c r="O435">
        <v>8799.7800000000007</v>
      </c>
      <c r="P435">
        <v>0.08</v>
      </c>
      <c r="Q435">
        <v>703.98</v>
      </c>
      <c r="R435">
        <v>8095.8</v>
      </c>
      <c r="S435">
        <v>647.66</v>
      </c>
      <c r="T435">
        <v>8743.4599999999991</v>
      </c>
      <c r="U435" t="s">
        <v>39</v>
      </c>
    </row>
    <row r="436" spans="1:21" x14ac:dyDescent="0.35">
      <c r="A436" t="s">
        <v>550</v>
      </c>
      <c r="B436" s="1">
        <v>44969</v>
      </c>
      <c r="C436">
        <v>2023</v>
      </c>
      <c r="D436" t="s">
        <v>41</v>
      </c>
      <c r="E436" t="s">
        <v>42</v>
      </c>
      <c r="F436" t="s">
        <v>43</v>
      </c>
      <c r="G436" t="s">
        <v>44</v>
      </c>
      <c r="H436" t="s">
        <v>54</v>
      </c>
      <c r="I436" t="s">
        <v>55</v>
      </c>
      <c r="J436" t="s">
        <v>56</v>
      </c>
      <c r="K436" t="s">
        <v>68</v>
      </c>
      <c r="L436" t="s">
        <v>69</v>
      </c>
      <c r="M436">
        <v>6</v>
      </c>
      <c r="N436">
        <v>39.99</v>
      </c>
      <c r="O436">
        <v>239.94</v>
      </c>
      <c r="P436">
        <v>0</v>
      </c>
      <c r="Q436">
        <v>0</v>
      </c>
      <c r="R436">
        <v>239.94</v>
      </c>
      <c r="S436">
        <v>19.2</v>
      </c>
      <c r="T436">
        <v>259.14</v>
      </c>
      <c r="U436" t="s">
        <v>111</v>
      </c>
    </row>
    <row r="437" spans="1:21" x14ac:dyDescent="0.35">
      <c r="A437" t="s">
        <v>551</v>
      </c>
      <c r="B437" s="1">
        <v>44969</v>
      </c>
      <c r="C437">
        <v>2023</v>
      </c>
      <c r="D437" t="s">
        <v>22</v>
      </c>
      <c r="E437" t="s">
        <v>23</v>
      </c>
      <c r="F437" t="s">
        <v>24</v>
      </c>
      <c r="G437" t="s">
        <v>25</v>
      </c>
      <c r="H437" t="s">
        <v>54</v>
      </c>
      <c r="I437" t="s">
        <v>55</v>
      </c>
      <c r="J437" t="s">
        <v>56</v>
      </c>
      <c r="K437" t="s">
        <v>60</v>
      </c>
      <c r="L437" t="s">
        <v>38</v>
      </c>
      <c r="M437">
        <v>13</v>
      </c>
      <c r="N437">
        <v>39.99</v>
      </c>
      <c r="O437">
        <v>519.87</v>
      </c>
      <c r="P437">
        <v>0.13</v>
      </c>
      <c r="Q437">
        <v>67.58</v>
      </c>
      <c r="R437">
        <v>452.29</v>
      </c>
      <c r="S437">
        <v>36.18</v>
      </c>
      <c r="T437">
        <v>488.47</v>
      </c>
      <c r="U437" t="s">
        <v>111</v>
      </c>
    </row>
    <row r="438" spans="1:21" x14ac:dyDescent="0.35">
      <c r="A438" t="s">
        <v>552</v>
      </c>
      <c r="B438" s="1">
        <v>44969</v>
      </c>
      <c r="C438">
        <v>2023</v>
      </c>
      <c r="D438" t="s">
        <v>87</v>
      </c>
      <c r="E438" t="s">
        <v>88</v>
      </c>
      <c r="F438" t="s">
        <v>24</v>
      </c>
      <c r="G438" t="s">
        <v>89</v>
      </c>
      <c r="H438" t="s">
        <v>84</v>
      </c>
      <c r="I438" t="s">
        <v>85</v>
      </c>
      <c r="J438" t="s">
        <v>47</v>
      </c>
      <c r="K438" t="s">
        <v>48</v>
      </c>
      <c r="L438" t="s">
        <v>30</v>
      </c>
      <c r="M438">
        <v>9</v>
      </c>
      <c r="N438">
        <v>249.99</v>
      </c>
      <c r="O438">
        <v>2249.91</v>
      </c>
      <c r="P438">
        <v>0</v>
      </c>
      <c r="Q438">
        <v>0</v>
      </c>
      <c r="R438">
        <v>2249.91</v>
      </c>
      <c r="S438">
        <v>179.99</v>
      </c>
      <c r="T438">
        <v>2429.9</v>
      </c>
      <c r="U438" t="s">
        <v>39</v>
      </c>
    </row>
    <row r="439" spans="1:21" x14ac:dyDescent="0.35">
      <c r="A439" t="s">
        <v>553</v>
      </c>
      <c r="B439" s="1">
        <v>44970</v>
      </c>
      <c r="C439">
        <v>2023</v>
      </c>
      <c r="D439" t="s">
        <v>107</v>
      </c>
      <c r="E439" t="s">
        <v>108</v>
      </c>
      <c r="F439" t="s">
        <v>35</v>
      </c>
      <c r="G439" t="s">
        <v>109</v>
      </c>
      <c r="H439" t="s">
        <v>78</v>
      </c>
      <c r="I439" t="s">
        <v>79</v>
      </c>
      <c r="J439" t="s">
        <v>28</v>
      </c>
      <c r="K439" t="s">
        <v>48</v>
      </c>
      <c r="L439" t="s">
        <v>30</v>
      </c>
      <c r="M439">
        <v>30</v>
      </c>
      <c r="N439">
        <v>5.99</v>
      </c>
      <c r="O439">
        <v>179.7</v>
      </c>
      <c r="P439">
        <v>0.08</v>
      </c>
      <c r="Q439">
        <v>14.38</v>
      </c>
      <c r="R439">
        <v>165.32</v>
      </c>
      <c r="S439">
        <v>13.23</v>
      </c>
      <c r="T439">
        <v>178.55</v>
      </c>
      <c r="U439" t="s">
        <v>111</v>
      </c>
    </row>
    <row r="440" spans="1:21" x14ac:dyDescent="0.35">
      <c r="A440" t="s">
        <v>554</v>
      </c>
      <c r="B440" s="1">
        <v>44975</v>
      </c>
      <c r="C440">
        <v>2023</v>
      </c>
      <c r="D440" t="s">
        <v>148</v>
      </c>
      <c r="E440" t="s">
        <v>149</v>
      </c>
      <c r="F440" t="s">
        <v>43</v>
      </c>
      <c r="G440" t="s">
        <v>150</v>
      </c>
      <c r="H440" t="s">
        <v>128</v>
      </c>
      <c r="I440" t="s">
        <v>129</v>
      </c>
      <c r="J440" t="s">
        <v>47</v>
      </c>
      <c r="K440" t="s">
        <v>60</v>
      </c>
      <c r="L440" t="s">
        <v>49</v>
      </c>
      <c r="M440">
        <v>28</v>
      </c>
      <c r="N440">
        <v>399.99</v>
      </c>
      <c r="O440">
        <v>11199.72</v>
      </c>
      <c r="P440">
        <v>0.08</v>
      </c>
      <c r="Q440">
        <v>895.98</v>
      </c>
      <c r="R440">
        <v>10303.74</v>
      </c>
      <c r="S440">
        <v>824.3</v>
      </c>
      <c r="T440">
        <v>0</v>
      </c>
      <c r="U440" t="s">
        <v>31</v>
      </c>
    </row>
    <row r="441" spans="1:21" x14ac:dyDescent="0.35">
      <c r="A441" t="s">
        <v>555</v>
      </c>
      <c r="B441" s="1">
        <v>44976</v>
      </c>
      <c r="C441">
        <v>2023</v>
      </c>
      <c r="D441" t="s">
        <v>81</v>
      </c>
      <c r="E441" t="s">
        <v>82</v>
      </c>
      <c r="F441" t="s">
        <v>35</v>
      </c>
      <c r="G441" t="s">
        <v>83</v>
      </c>
      <c r="H441" t="s">
        <v>104</v>
      </c>
      <c r="I441" t="s">
        <v>105</v>
      </c>
      <c r="J441" t="s">
        <v>47</v>
      </c>
      <c r="K441" t="s">
        <v>60</v>
      </c>
      <c r="L441" t="s">
        <v>73</v>
      </c>
      <c r="M441">
        <v>30</v>
      </c>
      <c r="N441">
        <v>479.99</v>
      </c>
      <c r="O441">
        <v>14399.7</v>
      </c>
      <c r="P441">
        <v>0.08</v>
      </c>
      <c r="Q441">
        <v>1151.98</v>
      </c>
      <c r="R441">
        <v>13247.72</v>
      </c>
      <c r="S441">
        <v>1059.82</v>
      </c>
      <c r="T441">
        <v>14307.54</v>
      </c>
      <c r="U441" t="s">
        <v>39</v>
      </c>
    </row>
    <row r="442" spans="1:21" x14ac:dyDescent="0.35">
      <c r="A442" t="s">
        <v>556</v>
      </c>
      <c r="B442" s="1">
        <v>44978</v>
      </c>
      <c r="C442">
        <v>2023</v>
      </c>
      <c r="D442" t="s">
        <v>186</v>
      </c>
      <c r="E442" t="s">
        <v>187</v>
      </c>
      <c r="F442" t="s">
        <v>43</v>
      </c>
      <c r="G442" t="s">
        <v>188</v>
      </c>
      <c r="H442" t="s">
        <v>145</v>
      </c>
      <c r="I442" t="s">
        <v>146</v>
      </c>
      <c r="J442" t="s">
        <v>47</v>
      </c>
      <c r="K442" t="s">
        <v>68</v>
      </c>
      <c r="L442" t="s">
        <v>73</v>
      </c>
      <c r="M442">
        <v>3</v>
      </c>
      <c r="N442">
        <v>129.99</v>
      </c>
      <c r="O442">
        <v>389.97</v>
      </c>
      <c r="P442">
        <v>0</v>
      </c>
      <c r="Q442">
        <v>0</v>
      </c>
      <c r="R442">
        <v>389.97</v>
      </c>
      <c r="S442">
        <v>31.2</v>
      </c>
      <c r="T442">
        <v>421.17</v>
      </c>
      <c r="U442" t="s">
        <v>39</v>
      </c>
    </row>
    <row r="443" spans="1:21" x14ac:dyDescent="0.35">
      <c r="A443" t="s">
        <v>557</v>
      </c>
      <c r="B443" s="1">
        <v>44979</v>
      </c>
      <c r="C443">
        <v>2023</v>
      </c>
      <c r="D443" t="s">
        <v>81</v>
      </c>
      <c r="E443" t="s">
        <v>82</v>
      </c>
      <c r="F443" t="s">
        <v>35</v>
      </c>
      <c r="G443" t="s">
        <v>83</v>
      </c>
      <c r="H443" t="s">
        <v>66</v>
      </c>
      <c r="I443" t="s">
        <v>67</v>
      </c>
      <c r="J443" t="s">
        <v>56</v>
      </c>
      <c r="K443" t="s">
        <v>60</v>
      </c>
      <c r="L443" t="s">
        <v>30</v>
      </c>
      <c r="M443">
        <v>14</v>
      </c>
      <c r="N443">
        <v>229.99</v>
      </c>
      <c r="O443">
        <v>3219.86</v>
      </c>
      <c r="P443">
        <v>0.05</v>
      </c>
      <c r="Q443">
        <v>160.99</v>
      </c>
      <c r="R443">
        <v>3058.87</v>
      </c>
      <c r="S443">
        <v>244.71</v>
      </c>
      <c r="T443">
        <v>3303.58</v>
      </c>
      <c r="U443" t="s">
        <v>39</v>
      </c>
    </row>
    <row r="444" spans="1:21" x14ac:dyDescent="0.35">
      <c r="A444" t="s">
        <v>558</v>
      </c>
      <c r="B444" s="1">
        <v>44979</v>
      </c>
      <c r="C444">
        <v>2023</v>
      </c>
      <c r="D444" t="s">
        <v>186</v>
      </c>
      <c r="E444" t="s">
        <v>187</v>
      </c>
      <c r="F444" t="s">
        <v>43</v>
      </c>
      <c r="G444" t="s">
        <v>188</v>
      </c>
      <c r="H444" t="s">
        <v>104</v>
      </c>
      <c r="I444" t="s">
        <v>105</v>
      </c>
      <c r="J444" t="s">
        <v>47</v>
      </c>
      <c r="K444" t="s">
        <v>29</v>
      </c>
      <c r="L444" t="s">
        <v>49</v>
      </c>
      <c r="M444">
        <v>9</v>
      </c>
      <c r="N444">
        <v>479.99</v>
      </c>
      <c r="O444">
        <v>4319.91</v>
      </c>
      <c r="P444">
        <v>0</v>
      </c>
      <c r="Q444">
        <v>0</v>
      </c>
      <c r="R444">
        <v>4319.91</v>
      </c>
      <c r="S444">
        <v>345.59</v>
      </c>
      <c r="T444">
        <v>4665.5</v>
      </c>
      <c r="U444" t="s">
        <v>39</v>
      </c>
    </row>
    <row r="445" spans="1:21" x14ac:dyDescent="0.35">
      <c r="A445" t="s">
        <v>559</v>
      </c>
      <c r="B445" s="1">
        <v>44981</v>
      </c>
      <c r="C445">
        <v>2023</v>
      </c>
      <c r="D445" t="s">
        <v>62</v>
      </c>
      <c r="E445" t="s">
        <v>63</v>
      </c>
      <c r="F445" t="s">
        <v>64</v>
      </c>
      <c r="G445" t="s">
        <v>65</v>
      </c>
      <c r="H445" t="s">
        <v>66</v>
      </c>
      <c r="I445" t="s">
        <v>67</v>
      </c>
      <c r="J445" t="s">
        <v>56</v>
      </c>
      <c r="K445" t="s">
        <v>29</v>
      </c>
      <c r="L445" t="s">
        <v>38</v>
      </c>
      <c r="M445">
        <v>12</v>
      </c>
      <c r="N445">
        <v>229.99</v>
      </c>
      <c r="O445">
        <v>2759.88</v>
      </c>
      <c r="P445">
        <v>0.13</v>
      </c>
      <c r="Q445">
        <v>358.78</v>
      </c>
      <c r="R445">
        <v>2401.1</v>
      </c>
      <c r="S445">
        <v>192.09</v>
      </c>
      <c r="T445">
        <v>2593.19</v>
      </c>
      <c r="U445" t="s">
        <v>39</v>
      </c>
    </row>
    <row r="446" spans="1:21" x14ac:dyDescent="0.35">
      <c r="A446" t="s">
        <v>560</v>
      </c>
      <c r="B446" s="1">
        <v>44984</v>
      </c>
      <c r="C446">
        <v>2023</v>
      </c>
      <c r="D446" t="s">
        <v>41</v>
      </c>
      <c r="E446" t="s">
        <v>42</v>
      </c>
      <c r="F446" t="s">
        <v>43</v>
      </c>
      <c r="G446" t="s">
        <v>44</v>
      </c>
      <c r="H446" t="s">
        <v>66</v>
      </c>
      <c r="I446" t="s">
        <v>67</v>
      </c>
      <c r="J446" t="s">
        <v>56</v>
      </c>
      <c r="K446" t="s">
        <v>48</v>
      </c>
      <c r="L446" t="s">
        <v>38</v>
      </c>
      <c r="M446">
        <v>17</v>
      </c>
      <c r="N446">
        <v>229.99</v>
      </c>
      <c r="O446">
        <v>3909.83</v>
      </c>
      <c r="P446">
        <v>0.13</v>
      </c>
      <c r="Q446">
        <v>508.28</v>
      </c>
      <c r="R446">
        <v>3401.55</v>
      </c>
      <c r="S446">
        <v>272.12</v>
      </c>
      <c r="T446">
        <v>0</v>
      </c>
      <c r="U446" t="s">
        <v>31</v>
      </c>
    </row>
    <row r="447" spans="1:21" x14ac:dyDescent="0.35">
      <c r="A447" t="s">
        <v>561</v>
      </c>
      <c r="B447" s="1">
        <v>44984</v>
      </c>
      <c r="C447">
        <v>2023</v>
      </c>
      <c r="D447" t="s">
        <v>62</v>
      </c>
      <c r="E447" t="s">
        <v>63</v>
      </c>
      <c r="F447" t="s">
        <v>64</v>
      </c>
      <c r="G447" t="s">
        <v>65</v>
      </c>
      <c r="H447" t="s">
        <v>58</v>
      </c>
      <c r="I447" t="s">
        <v>59</v>
      </c>
      <c r="J447" t="s">
        <v>56</v>
      </c>
      <c r="K447" t="s">
        <v>68</v>
      </c>
      <c r="L447" t="s">
        <v>73</v>
      </c>
      <c r="M447">
        <v>13</v>
      </c>
      <c r="N447">
        <v>599.99</v>
      </c>
      <c r="O447">
        <v>7799.87</v>
      </c>
      <c r="P447">
        <v>0.05</v>
      </c>
      <c r="Q447">
        <v>389.99</v>
      </c>
      <c r="R447">
        <v>7409.88</v>
      </c>
      <c r="S447">
        <v>592.79</v>
      </c>
      <c r="T447">
        <v>8002.67</v>
      </c>
      <c r="U447" t="s">
        <v>39</v>
      </c>
    </row>
    <row r="448" spans="1:21" x14ac:dyDescent="0.35">
      <c r="A448" t="s">
        <v>562</v>
      </c>
      <c r="B448" s="1">
        <v>44990</v>
      </c>
      <c r="C448">
        <v>2023</v>
      </c>
      <c r="D448" t="s">
        <v>142</v>
      </c>
      <c r="E448" t="s">
        <v>143</v>
      </c>
      <c r="F448" t="s">
        <v>43</v>
      </c>
      <c r="G448" t="s">
        <v>144</v>
      </c>
      <c r="H448" t="s">
        <v>104</v>
      </c>
      <c r="I448" t="s">
        <v>105</v>
      </c>
      <c r="J448" t="s">
        <v>47</v>
      </c>
      <c r="K448" t="s">
        <v>68</v>
      </c>
      <c r="L448" t="s">
        <v>69</v>
      </c>
      <c r="M448">
        <v>25</v>
      </c>
      <c r="N448">
        <v>479.99</v>
      </c>
      <c r="O448">
        <v>11999.75</v>
      </c>
      <c r="P448">
        <v>0.08</v>
      </c>
      <c r="Q448">
        <v>959.98</v>
      </c>
      <c r="R448">
        <v>11039.77</v>
      </c>
      <c r="S448">
        <v>883.18</v>
      </c>
      <c r="T448">
        <v>11922.95</v>
      </c>
      <c r="U448" t="s">
        <v>39</v>
      </c>
    </row>
    <row r="449" spans="1:21" x14ac:dyDescent="0.35">
      <c r="A449" t="s">
        <v>563</v>
      </c>
      <c r="B449" s="1">
        <v>44996</v>
      </c>
      <c r="C449">
        <v>2023</v>
      </c>
      <c r="D449" t="s">
        <v>186</v>
      </c>
      <c r="E449" t="s">
        <v>187</v>
      </c>
      <c r="F449" t="s">
        <v>43</v>
      </c>
      <c r="G449" t="s">
        <v>188</v>
      </c>
      <c r="H449" t="s">
        <v>128</v>
      </c>
      <c r="I449" t="s">
        <v>129</v>
      </c>
      <c r="J449" t="s">
        <v>47</v>
      </c>
      <c r="K449" t="s">
        <v>48</v>
      </c>
      <c r="L449" t="s">
        <v>73</v>
      </c>
      <c r="M449">
        <v>4</v>
      </c>
      <c r="N449">
        <v>399.99</v>
      </c>
      <c r="O449">
        <v>1599.96</v>
      </c>
      <c r="P449">
        <v>0</v>
      </c>
      <c r="Q449">
        <v>0</v>
      </c>
      <c r="R449">
        <v>1599.96</v>
      </c>
      <c r="S449">
        <v>128</v>
      </c>
      <c r="T449">
        <v>1727.96</v>
      </c>
      <c r="U449" t="s">
        <v>39</v>
      </c>
    </row>
    <row r="450" spans="1:21" x14ac:dyDescent="0.35">
      <c r="A450" t="s">
        <v>564</v>
      </c>
      <c r="B450" s="1">
        <v>44998</v>
      </c>
      <c r="C450">
        <v>2023</v>
      </c>
      <c r="D450" t="s">
        <v>186</v>
      </c>
      <c r="E450" t="s">
        <v>187</v>
      </c>
      <c r="F450" t="s">
        <v>43</v>
      </c>
      <c r="G450" t="s">
        <v>188</v>
      </c>
      <c r="H450" t="s">
        <v>94</v>
      </c>
      <c r="I450" t="s">
        <v>95</v>
      </c>
      <c r="J450" t="s">
        <v>56</v>
      </c>
      <c r="K450" t="s">
        <v>60</v>
      </c>
      <c r="L450" t="s">
        <v>30</v>
      </c>
      <c r="M450">
        <v>13</v>
      </c>
      <c r="N450">
        <v>349.99</v>
      </c>
      <c r="O450">
        <v>4549.87</v>
      </c>
      <c r="P450">
        <v>0.05</v>
      </c>
      <c r="Q450">
        <v>227.49</v>
      </c>
      <c r="R450">
        <v>4322.38</v>
      </c>
      <c r="S450">
        <v>345.79</v>
      </c>
      <c r="T450">
        <v>4668.17</v>
      </c>
      <c r="U450" t="s">
        <v>39</v>
      </c>
    </row>
    <row r="451" spans="1:21" x14ac:dyDescent="0.35">
      <c r="A451" t="s">
        <v>565</v>
      </c>
      <c r="B451" s="1">
        <v>44998</v>
      </c>
      <c r="C451">
        <v>2023</v>
      </c>
      <c r="D451" t="s">
        <v>81</v>
      </c>
      <c r="E451" t="s">
        <v>82</v>
      </c>
      <c r="F451" t="s">
        <v>35</v>
      </c>
      <c r="G451" t="s">
        <v>83</v>
      </c>
      <c r="H451" t="s">
        <v>104</v>
      </c>
      <c r="I451" t="s">
        <v>105</v>
      </c>
      <c r="J451" t="s">
        <v>47</v>
      </c>
      <c r="K451" t="s">
        <v>68</v>
      </c>
      <c r="L451" t="s">
        <v>38</v>
      </c>
      <c r="M451">
        <v>16</v>
      </c>
      <c r="N451">
        <v>479.99</v>
      </c>
      <c r="O451">
        <v>7679.84</v>
      </c>
      <c r="P451">
        <v>0.13</v>
      </c>
      <c r="Q451">
        <v>998.38</v>
      </c>
      <c r="R451">
        <v>6681.46</v>
      </c>
      <c r="S451">
        <v>534.52</v>
      </c>
      <c r="T451">
        <v>7215.98</v>
      </c>
      <c r="U451" t="s">
        <v>111</v>
      </c>
    </row>
    <row r="452" spans="1:21" x14ac:dyDescent="0.35">
      <c r="A452" t="s">
        <v>566</v>
      </c>
      <c r="B452" s="1">
        <v>44998</v>
      </c>
      <c r="C452">
        <v>2023</v>
      </c>
      <c r="D452" t="s">
        <v>81</v>
      </c>
      <c r="E452" t="s">
        <v>82</v>
      </c>
      <c r="F452" t="s">
        <v>35</v>
      </c>
      <c r="G452" t="s">
        <v>83</v>
      </c>
      <c r="H452" t="s">
        <v>45</v>
      </c>
      <c r="I452" t="s">
        <v>46</v>
      </c>
      <c r="J452" t="s">
        <v>47</v>
      </c>
      <c r="K452" t="s">
        <v>60</v>
      </c>
      <c r="L452" t="s">
        <v>49</v>
      </c>
      <c r="M452">
        <v>11</v>
      </c>
      <c r="N452">
        <v>89.99</v>
      </c>
      <c r="O452">
        <v>989.89</v>
      </c>
      <c r="P452">
        <v>0.05</v>
      </c>
      <c r="Q452">
        <v>49.49</v>
      </c>
      <c r="R452">
        <v>940.4</v>
      </c>
      <c r="S452">
        <v>75.23</v>
      </c>
      <c r="T452">
        <v>1015.63</v>
      </c>
      <c r="U452" t="s">
        <v>39</v>
      </c>
    </row>
    <row r="453" spans="1:21" x14ac:dyDescent="0.35">
      <c r="A453" t="s">
        <v>567</v>
      </c>
      <c r="B453" s="1">
        <v>44999</v>
      </c>
      <c r="C453">
        <v>2023</v>
      </c>
      <c r="D453" t="s">
        <v>33</v>
      </c>
      <c r="E453" t="s">
        <v>34</v>
      </c>
      <c r="F453" t="s">
        <v>35</v>
      </c>
      <c r="G453" t="s">
        <v>36</v>
      </c>
      <c r="H453" t="s">
        <v>128</v>
      </c>
      <c r="I453" t="s">
        <v>129</v>
      </c>
      <c r="J453" t="s">
        <v>47</v>
      </c>
      <c r="K453" t="s">
        <v>37</v>
      </c>
      <c r="L453" t="s">
        <v>38</v>
      </c>
      <c r="M453">
        <v>4</v>
      </c>
      <c r="N453">
        <v>399.99</v>
      </c>
      <c r="O453">
        <v>1599.96</v>
      </c>
      <c r="P453">
        <v>0.08</v>
      </c>
      <c r="Q453">
        <v>128</v>
      </c>
      <c r="R453">
        <v>1471.96</v>
      </c>
      <c r="S453">
        <v>117.76</v>
      </c>
      <c r="T453">
        <v>1589.72</v>
      </c>
      <c r="U453" t="s">
        <v>39</v>
      </c>
    </row>
    <row r="454" spans="1:21" x14ac:dyDescent="0.35">
      <c r="A454" t="s">
        <v>568</v>
      </c>
      <c r="B454" s="1">
        <v>45000</v>
      </c>
      <c r="C454">
        <v>2023</v>
      </c>
      <c r="D454" t="s">
        <v>107</v>
      </c>
      <c r="E454" t="s">
        <v>108</v>
      </c>
      <c r="F454" t="s">
        <v>35</v>
      </c>
      <c r="G454" t="s">
        <v>109</v>
      </c>
      <c r="H454" t="s">
        <v>208</v>
      </c>
      <c r="I454" t="s">
        <v>209</v>
      </c>
      <c r="J454" t="s">
        <v>47</v>
      </c>
      <c r="K454" t="s">
        <v>37</v>
      </c>
      <c r="L454" t="s">
        <v>69</v>
      </c>
      <c r="M454">
        <v>19</v>
      </c>
      <c r="N454">
        <v>49.99</v>
      </c>
      <c r="O454">
        <v>949.81</v>
      </c>
      <c r="P454">
        <v>0.05</v>
      </c>
      <c r="Q454">
        <v>47.49</v>
      </c>
      <c r="R454">
        <v>902.32</v>
      </c>
      <c r="S454">
        <v>72.19</v>
      </c>
      <c r="T454">
        <v>974.51</v>
      </c>
      <c r="U454" t="s">
        <v>39</v>
      </c>
    </row>
    <row r="455" spans="1:21" x14ac:dyDescent="0.35">
      <c r="A455" t="s">
        <v>569</v>
      </c>
      <c r="B455" s="1">
        <v>45001</v>
      </c>
      <c r="C455">
        <v>2023</v>
      </c>
      <c r="D455" t="s">
        <v>75</v>
      </c>
      <c r="E455" t="s">
        <v>76</v>
      </c>
      <c r="F455" t="s">
        <v>64</v>
      </c>
      <c r="G455" t="s">
        <v>77</v>
      </c>
      <c r="H455" t="s">
        <v>208</v>
      </c>
      <c r="I455" t="s">
        <v>209</v>
      </c>
      <c r="J455" t="s">
        <v>47</v>
      </c>
      <c r="K455" t="s">
        <v>37</v>
      </c>
      <c r="L455" t="s">
        <v>49</v>
      </c>
      <c r="M455">
        <v>16</v>
      </c>
      <c r="N455">
        <v>49.99</v>
      </c>
      <c r="O455">
        <v>799.84</v>
      </c>
      <c r="P455">
        <v>0.05</v>
      </c>
      <c r="Q455">
        <v>39.99</v>
      </c>
      <c r="R455">
        <v>759.85</v>
      </c>
      <c r="S455">
        <v>60.79</v>
      </c>
      <c r="T455">
        <v>820.64</v>
      </c>
      <c r="U455" t="s">
        <v>39</v>
      </c>
    </row>
    <row r="456" spans="1:21" x14ac:dyDescent="0.35">
      <c r="A456" t="s">
        <v>570</v>
      </c>
      <c r="B456" s="1">
        <v>45003</v>
      </c>
      <c r="C456">
        <v>2023</v>
      </c>
      <c r="D456" t="s">
        <v>87</v>
      </c>
      <c r="E456" t="s">
        <v>88</v>
      </c>
      <c r="F456" t="s">
        <v>24</v>
      </c>
      <c r="G456" t="s">
        <v>89</v>
      </c>
      <c r="H456" t="s">
        <v>104</v>
      </c>
      <c r="I456" t="s">
        <v>105</v>
      </c>
      <c r="J456" t="s">
        <v>47</v>
      </c>
      <c r="K456" t="s">
        <v>48</v>
      </c>
      <c r="L456" t="s">
        <v>73</v>
      </c>
      <c r="M456">
        <v>18</v>
      </c>
      <c r="N456">
        <v>479.99</v>
      </c>
      <c r="O456">
        <v>8639.82</v>
      </c>
      <c r="P456">
        <v>0.05</v>
      </c>
      <c r="Q456">
        <v>431.99</v>
      </c>
      <c r="R456">
        <v>8207.83</v>
      </c>
      <c r="S456">
        <v>656.63</v>
      </c>
      <c r="T456">
        <v>0</v>
      </c>
      <c r="U456" t="s">
        <v>31</v>
      </c>
    </row>
    <row r="457" spans="1:21" x14ac:dyDescent="0.35">
      <c r="A457" t="s">
        <v>571</v>
      </c>
      <c r="B457" s="1">
        <v>45013</v>
      </c>
      <c r="C457">
        <v>2023</v>
      </c>
      <c r="D457" t="s">
        <v>91</v>
      </c>
      <c r="E457" t="s">
        <v>92</v>
      </c>
      <c r="F457" t="s">
        <v>24</v>
      </c>
      <c r="G457" t="s">
        <v>93</v>
      </c>
      <c r="H457" t="s">
        <v>58</v>
      </c>
      <c r="I457" t="s">
        <v>59</v>
      </c>
      <c r="J457" t="s">
        <v>56</v>
      </c>
      <c r="K457" t="s">
        <v>37</v>
      </c>
      <c r="L457" t="s">
        <v>73</v>
      </c>
      <c r="M457">
        <v>10</v>
      </c>
      <c r="N457">
        <v>599.99</v>
      </c>
      <c r="O457">
        <v>5999.9</v>
      </c>
      <c r="P457">
        <v>0.05</v>
      </c>
      <c r="Q457">
        <v>300</v>
      </c>
      <c r="R457">
        <v>5699.9</v>
      </c>
      <c r="S457">
        <v>455.99</v>
      </c>
      <c r="T457">
        <v>0</v>
      </c>
      <c r="U457" t="s">
        <v>31</v>
      </c>
    </row>
    <row r="458" spans="1:21" x14ac:dyDescent="0.35">
      <c r="A458" t="s">
        <v>572</v>
      </c>
      <c r="B458" s="1">
        <v>45022</v>
      </c>
      <c r="C458">
        <v>2023</v>
      </c>
      <c r="D458" t="s">
        <v>142</v>
      </c>
      <c r="E458" t="s">
        <v>143</v>
      </c>
      <c r="F458" t="s">
        <v>43</v>
      </c>
      <c r="G458" t="s">
        <v>144</v>
      </c>
      <c r="H458" t="s">
        <v>128</v>
      </c>
      <c r="I458" t="s">
        <v>129</v>
      </c>
      <c r="J458" t="s">
        <v>47</v>
      </c>
      <c r="K458" t="s">
        <v>37</v>
      </c>
      <c r="L458" t="s">
        <v>30</v>
      </c>
      <c r="M458">
        <v>14</v>
      </c>
      <c r="N458">
        <v>399.99</v>
      </c>
      <c r="O458">
        <v>5599.86</v>
      </c>
      <c r="P458">
        <v>0.05</v>
      </c>
      <c r="Q458">
        <v>279.99</v>
      </c>
      <c r="R458">
        <v>5319.87</v>
      </c>
      <c r="S458">
        <v>425.59</v>
      </c>
      <c r="T458">
        <v>5745.46</v>
      </c>
      <c r="U458" t="s">
        <v>39</v>
      </c>
    </row>
    <row r="459" spans="1:21" x14ac:dyDescent="0.35">
      <c r="A459" t="s">
        <v>573</v>
      </c>
      <c r="B459" s="1">
        <v>45024</v>
      </c>
      <c r="C459">
        <v>2023</v>
      </c>
      <c r="D459" t="s">
        <v>107</v>
      </c>
      <c r="E459" t="s">
        <v>108</v>
      </c>
      <c r="F459" t="s">
        <v>35</v>
      </c>
      <c r="G459" t="s">
        <v>109</v>
      </c>
      <c r="H459" t="s">
        <v>100</v>
      </c>
      <c r="I459" t="s">
        <v>101</v>
      </c>
      <c r="J459" t="s">
        <v>47</v>
      </c>
      <c r="K459" t="s">
        <v>60</v>
      </c>
      <c r="L459" t="s">
        <v>49</v>
      </c>
      <c r="M459">
        <v>18</v>
      </c>
      <c r="N459">
        <v>29.99</v>
      </c>
      <c r="O459">
        <v>539.82000000000005</v>
      </c>
      <c r="P459">
        <v>0.05</v>
      </c>
      <c r="Q459">
        <v>26.99</v>
      </c>
      <c r="R459">
        <v>512.83000000000004</v>
      </c>
      <c r="S459">
        <v>41.03</v>
      </c>
      <c r="T459">
        <v>553.86</v>
      </c>
      <c r="U459" t="s">
        <v>39</v>
      </c>
    </row>
    <row r="460" spans="1:21" x14ac:dyDescent="0.35">
      <c r="A460" t="s">
        <v>574</v>
      </c>
      <c r="B460" s="1">
        <v>45024</v>
      </c>
      <c r="C460">
        <v>2023</v>
      </c>
      <c r="D460" t="s">
        <v>107</v>
      </c>
      <c r="E460" t="s">
        <v>108</v>
      </c>
      <c r="F460" t="s">
        <v>35</v>
      </c>
      <c r="G460" t="s">
        <v>109</v>
      </c>
      <c r="H460" t="s">
        <v>104</v>
      </c>
      <c r="I460" t="s">
        <v>105</v>
      </c>
      <c r="J460" t="s">
        <v>47</v>
      </c>
      <c r="K460" t="s">
        <v>37</v>
      </c>
      <c r="L460" t="s">
        <v>49</v>
      </c>
      <c r="M460">
        <v>7</v>
      </c>
      <c r="N460">
        <v>479.99</v>
      </c>
      <c r="O460">
        <v>3359.93</v>
      </c>
      <c r="P460">
        <v>0</v>
      </c>
      <c r="Q460">
        <v>0</v>
      </c>
      <c r="R460">
        <v>3359.93</v>
      </c>
      <c r="S460">
        <v>268.79000000000002</v>
      </c>
      <c r="T460">
        <v>3628.72</v>
      </c>
      <c r="U460" t="s">
        <v>39</v>
      </c>
    </row>
    <row r="461" spans="1:21" x14ac:dyDescent="0.35">
      <c r="A461" t="s">
        <v>575</v>
      </c>
      <c r="B461" s="1">
        <v>45027</v>
      </c>
      <c r="C461">
        <v>2023</v>
      </c>
      <c r="D461" t="s">
        <v>186</v>
      </c>
      <c r="E461" t="s">
        <v>187</v>
      </c>
      <c r="F461" t="s">
        <v>43</v>
      </c>
      <c r="G461" t="s">
        <v>188</v>
      </c>
      <c r="H461" t="s">
        <v>125</v>
      </c>
      <c r="I461" t="s">
        <v>126</v>
      </c>
      <c r="J461" t="s">
        <v>28</v>
      </c>
      <c r="K461" t="s">
        <v>48</v>
      </c>
      <c r="L461" t="s">
        <v>38</v>
      </c>
      <c r="M461">
        <v>5</v>
      </c>
      <c r="N461">
        <v>79.989999999999995</v>
      </c>
      <c r="O461">
        <v>399.95</v>
      </c>
      <c r="P461">
        <v>0.08</v>
      </c>
      <c r="Q461">
        <v>32</v>
      </c>
      <c r="R461">
        <v>367.95</v>
      </c>
      <c r="S461">
        <v>29.44</v>
      </c>
      <c r="T461">
        <v>397.39</v>
      </c>
      <c r="U461" t="s">
        <v>39</v>
      </c>
    </row>
    <row r="462" spans="1:21" x14ac:dyDescent="0.35">
      <c r="A462" t="s">
        <v>576</v>
      </c>
      <c r="B462" s="1">
        <v>45029</v>
      </c>
      <c r="C462">
        <v>2023</v>
      </c>
      <c r="D462" t="s">
        <v>33</v>
      </c>
      <c r="E462" t="s">
        <v>34</v>
      </c>
      <c r="F462" t="s">
        <v>35</v>
      </c>
      <c r="G462" t="s">
        <v>36</v>
      </c>
      <c r="H462" t="s">
        <v>26</v>
      </c>
      <c r="I462" t="s">
        <v>27</v>
      </c>
      <c r="J462" t="s">
        <v>28</v>
      </c>
      <c r="K462" t="s">
        <v>48</v>
      </c>
      <c r="L462" t="s">
        <v>38</v>
      </c>
      <c r="M462">
        <v>12</v>
      </c>
      <c r="N462">
        <v>8.99</v>
      </c>
      <c r="O462">
        <v>107.88</v>
      </c>
      <c r="P462">
        <v>0.13</v>
      </c>
      <c r="Q462">
        <v>14.02</v>
      </c>
      <c r="R462">
        <v>93.86</v>
      </c>
      <c r="S462">
        <v>7.51</v>
      </c>
      <c r="T462">
        <v>101.37</v>
      </c>
      <c r="U462" t="s">
        <v>39</v>
      </c>
    </row>
    <row r="463" spans="1:21" x14ac:dyDescent="0.35">
      <c r="A463" t="s">
        <v>577</v>
      </c>
      <c r="B463" s="1">
        <v>45032</v>
      </c>
      <c r="C463">
        <v>2023</v>
      </c>
      <c r="D463" t="s">
        <v>97</v>
      </c>
      <c r="E463" t="s">
        <v>98</v>
      </c>
      <c r="F463" t="s">
        <v>35</v>
      </c>
      <c r="G463" t="s">
        <v>99</v>
      </c>
      <c r="H463" t="s">
        <v>208</v>
      </c>
      <c r="I463" t="s">
        <v>209</v>
      </c>
      <c r="J463" t="s">
        <v>47</v>
      </c>
      <c r="K463" t="s">
        <v>48</v>
      </c>
      <c r="L463" t="s">
        <v>38</v>
      </c>
      <c r="M463">
        <v>22</v>
      </c>
      <c r="N463">
        <v>49.99</v>
      </c>
      <c r="O463">
        <v>1099.78</v>
      </c>
      <c r="P463">
        <v>0.16</v>
      </c>
      <c r="Q463">
        <v>175.96</v>
      </c>
      <c r="R463">
        <v>923.82</v>
      </c>
      <c r="S463">
        <v>73.91</v>
      </c>
      <c r="T463">
        <v>997.73</v>
      </c>
      <c r="U463" t="s">
        <v>39</v>
      </c>
    </row>
    <row r="464" spans="1:21" x14ac:dyDescent="0.35">
      <c r="A464" t="s">
        <v>578</v>
      </c>
      <c r="B464" s="1">
        <v>45032</v>
      </c>
      <c r="C464">
        <v>2023</v>
      </c>
      <c r="D464" t="s">
        <v>75</v>
      </c>
      <c r="E464" t="s">
        <v>76</v>
      </c>
      <c r="F464" t="s">
        <v>64</v>
      </c>
      <c r="G464" t="s">
        <v>77</v>
      </c>
      <c r="H464" t="s">
        <v>145</v>
      </c>
      <c r="I464" t="s">
        <v>146</v>
      </c>
      <c r="J464" t="s">
        <v>47</v>
      </c>
      <c r="K464" t="s">
        <v>48</v>
      </c>
      <c r="L464" t="s">
        <v>73</v>
      </c>
      <c r="M464">
        <v>27</v>
      </c>
      <c r="N464">
        <v>129.99</v>
      </c>
      <c r="O464">
        <v>3509.73</v>
      </c>
      <c r="P464">
        <v>0.08</v>
      </c>
      <c r="Q464">
        <v>280.77999999999997</v>
      </c>
      <c r="R464">
        <v>3228.95</v>
      </c>
      <c r="S464">
        <v>258.32</v>
      </c>
      <c r="T464">
        <v>3487.27</v>
      </c>
      <c r="U464" t="s">
        <v>39</v>
      </c>
    </row>
    <row r="465" spans="1:21" x14ac:dyDescent="0.35">
      <c r="A465" t="s">
        <v>579</v>
      </c>
      <c r="B465" s="1">
        <v>45033</v>
      </c>
      <c r="C465">
        <v>2023</v>
      </c>
      <c r="D465" t="s">
        <v>22</v>
      </c>
      <c r="E465" t="s">
        <v>23</v>
      </c>
      <c r="F465" t="s">
        <v>24</v>
      </c>
      <c r="G465" t="s">
        <v>25</v>
      </c>
      <c r="H465" t="s">
        <v>94</v>
      </c>
      <c r="I465" t="s">
        <v>95</v>
      </c>
      <c r="J465" t="s">
        <v>56</v>
      </c>
      <c r="K465" t="s">
        <v>48</v>
      </c>
      <c r="L465" t="s">
        <v>30</v>
      </c>
      <c r="M465">
        <v>16</v>
      </c>
      <c r="N465">
        <v>349.99</v>
      </c>
      <c r="O465">
        <v>5599.84</v>
      </c>
      <c r="P465">
        <v>0.05</v>
      </c>
      <c r="Q465">
        <v>279.99</v>
      </c>
      <c r="R465">
        <v>5319.85</v>
      </c>
      <c r="S465">
        <v>425.59</v>
      </c>
      <c r="T465">
        <v>5745.44</v>
      </c>
      <c r="U465" t="s">
        <v>39</v>
      </c>
    </row>
    <row r="466" spans="1:21" x14ac:dyDescent="0.35">
      <c r="A466" t="s">
        <v>580</v>
      </c>
      <c r="B466" s="1">
        <v>45036</v>
      </c>
      <c r="C466">
        <v>2023</v>
      </c>
      <c r="D466" t="s">
        <v>186</v>
      </c>
      <c r="E466" t="s">
        <v>187</v>
      </c>
      <c r="F466" t="s">
        <v>43</v>
      </c>
      <c r="G466" t="s">
        <v>188</v>
      </c>
      <c r="H466" t="s">
        <v>71</v>
      </c>
      <c r="I466" t="s">
        <v>72</v>
      </c>
      <c r="J466" t="s">
        <v>47</v>
      </c>
      <c r="K466" t="s">
        <v>29</v>
      </c>
      <c r="L466" t="s">
        <v>38</v>
      </c>
      <c r="M466">
        <v>24</v>
      </c>
      <c r="N466">
        <v>1199.99</v>
      </c>
      <c r="O466">
        <v>28799.759999999998</v>
      </c>
      <c r="P466">
        <v>0.16</v>
      </c>
      <c r="Q466">
        <v>4607.96</v>
      </c>
      <c r="R466">
        <v>24191.8</v>
      </c>
      <c r="S466">
        <v>1935.34</v>
      </c>
      <c r="T466">
        <v>26127.14</v>
      </c>
      <c r="U466" t="s">
        <v>39</v>
      </c>
    </row>
    <row r="467" spans="1:21" x14ac:dyDescent="0.35">
      <c r="A467" t="s">
        <v>581</v>
      </c>
      <c r="B467" s="1">
        <v>45039</v>
      </c>
      <c r="C467">
        <v>2023</v>
      </c>
      <c r="D467" t="s">
        <v>107</v>
      </c>
      <c r="E467" t="s">
        <v>108</v>
      </c>
      <c r="F467" t="s">
        <v>35</v>
      </c>
      <c r="G467" t="s">
        <v>109</v>
      </c>
      <c r="H467" t="s">
        <v>84</v>
      </c>
      <c r="I467" t="s">
        <v>85</v>
      </c>
      <c r="J467" t="s">
        <v>47</v>
      </c>
      <c r="K467" t="s">
        <v>37</v>
      </c>
      <c r="L467" t="s">
        <v>49</v>
      </c>
      <c r="M467">
        <v>8</v>
      </c>
      <c r="N467">
        <v>249.99</v>
      </c>
      <c r="O467">
        <v>1999.92</v>
      </c>
      <c r="P467">
        <v>0</v>
      </c>
      <c r="Q467">
        <v>0</v>
      </c>
      <c r="R467">
        <v>1999.92</v>
      </c>
      <c r="S467">
        <v>159.99</v>
      </c>
      <c r="T467">
        <v>0</v>
      </c>
      <c r="U467" t="s">
        <v>31</v>
      </c>
    </row>
    <row r="468" spans="1:21" x14ac:dyDescent="0.35">
      <c r="A468" t="s">
        <v>582</v>
      </c>
      <c r="B468" s="1">
        <v>45039</v>
      </c>
      <c r="C468">
        <v>2023</v>
      </c>
      <c r="D468" t="s">
        <v>75</v>
      </c>
      <c r="E468" t="s">
        <v>76</v>
      </c>
      <c r="F468" t="s">
        <v>64</v>
      </c>
      <c r="G468" t="s">
        <v>77</v>
      </c>
      <c r="H468" t="s">
        <v>128</v>
      </c>
      <c r="I468" t="s">
        <v>129</v>
      </c>
      <c r="J468" t="s">
        <v>47</v>
      </c>
      <c r="K468" t="s">
        <v>68</v>
      </c>
      <c r="L468" t="s">
        <v>30</v>
      </c>
      <c r="M468">
        <v>26</v>
      </c>
      <c r="N468">
        <v>399.99</v>
      </c>
      <c r="O468">
        <v>10399.74</v>
      </c>
      <c r="P468">
        <v>0.08</v>
      </c>
      <c r="Q468">
        <v>831.98</v>
      </c>
      <c r="R468">
        <v>9567.76</v>
      </c>
      <c r="S468">
        <v>765.42</v>
      </c>
      <c r="T468">
        <v>10333.18</v>
      </c>
      <c r="U468" t="s">
        <v>39</v>
      </c>
    </row>
    <row r="469" spans="1:21" x14ac:dyDescent="0.35">
      <c r="A469" t="s">
        <v>583</v>
      </c>
      <c r="B469" s="1">
        <v>45041</v>
      </c>
      <c r="C469">
        <v>2023</v>
      </c>
      <c r="D469" t="s">
        <v>75</v>
      </c>
      <c r="E469" t="s">
        <v>76</v>
      </c>
      <c r="F469" t="s">
        <v>64</v>
      </c>
      <c r="G469" t="s">
        <v>77</v>
      </c>
      <c r="H469" t="s">
        <v>100</v>
      </c>
      <c r="I469" t="s">
        <v>101</v>
      </c>
      <c r="J469" t="s">
        <v>47</v>
      </c>
      <c r="K469" t="s">
        <v>48</v>
      </c>
      <c r="L469" t="s">
        <v>38</v>
      </c>
      <c r="M469">
        <v>5</v>
      </c>
      <c r="N469">
        <v>29.99</v>
      </c>
      <c r="O469">
        <v>149.94999999999999</v>
      </c>
      <c r="P469">
        <v>0.08</v>
      </c>
      <c r="Q469">
        <v>12</v>
      </c>
      <c r="R469">
        <v>137.94999999999999</v>
      </c>
      <c r="S469">
        <v>11.04</v>
      </c>
      <c r="T469">
        <v>0</v>
      </c>
      <c r="U469" t="s">
        <v>31</v>
      </c>
    </row>
    <row r="470" spans="1:21" x14ac:dyDescent="0.35">
      <c r="A470" t="s">
        <v>584</v>
      </c>
      <c r="B470" s="1">
        <v>45044</v>
      </c>
      <c r="C470">
        <v>2023</v>
      </c>
      <c r="D470" t="s">
        <v>33</v>
      </c>
      <c r="E470" t="s">
        <v>34</v>
      </c>
      <c r="F470" t="s">
        <v>35</v>
      </c>
      <c r="G470" t="s">
        <v>36</v>
      </c>
      <c r="H470" t="s">
        <v>104</v>
      </c>
      <c r="I470" t="s">
        <v>105</v>
      </c>
      <c r="J470" t="s">
        <v>47</v>
      </c>
      <c r="K470" t="s">
        <v>60</v>
      </c>
      <c r="L470" t="s">
        <v>73</v>
      </c>
      <c r="M470">
        <v>3</v>
      </c>
      <c r="N470">
        <v>479.99</v>
      </c>
      <c r="O470">
        <v>1439.97</v>
      </c>
      <c r="P470">
        <v>0</v>
      </c>
      <c r="Q470">
        <v>0</v>
      </c>
      <c r="R470">
        <v>1439.97</v>
      </c>
      <c r="S470">
        <v>115.2</v>
      </c>
      <c r="T470">
        <v>1555.17</v>
      </c>
      <c r="U470" t="s">
        <v>39</v>
      </c>
    </row>
    <row r="471" spans="1:21" x14ac:dyDescent="0.35">
      <c r="A471" t="s">
        <v>585</v>
      </c>
      <c r="B471" s="1">
        <v>45046</v>
      </c>
      <c r="C471">
        <v>2023</v>
      </c>
      <c r="D471" t="s">
        <v>22</v>
      </c>
      <c r="E471" t="s">
        <v>23</v>
      </c>
      <c r="F471" t="s">
        <v>24</v>
      </c>
      <c r="G471" t="s">
        <v>25</v>
      </c>
      <c r="H471" t="s">
        <v>94</v>
      </c>
      <c r="I471" t="s">
        <v>95</v>
      </c>
      <c r="J471" t="s">
        <v>56</v>
      </c>
      <c r="K471" t="s">
        <v>68</v>
      </c>
      <c r="L471" t="s">
        <v>73</v>
      </c>
      <c r="M471">
        <v>10</v>
      </c>
      <c r="N471">
        <v>349.99</v>
      </c>
      <c r="O471">
        <v>3499.9</v>
      </c>
      <c r="P471">
        <v>0.05</v>
      </c>
      <c r="Q471">
        <v>175</v>
      </c>
      <c r="R471">
        <v>3324.9</v>
      </c>
      <c r="S471">
        <v>265.99</v>
      </c>
      <c r="T471">
        <v>0</v>
      </c>
      <c r="U471" t="s">
        <v>31</v>
      </c>
    </row>
    <row r="472" spans="1:21" x14ac:dyDescent="0.35">
      <c r="A472" t="s">
        <v>586</v>
      </c>
      <c r="B472" s="1">
        <v>45048</v>
      </c>
      <c r="C472">
        <v>2023</v>
      </c>
      <c r="D472" t="s">
        <v>148</v>
      </c>
      <c r="E472" t="s">
        <v>149</v>
      </c>
      <c r="F472" t="s">
        <v>43</v>
      </c>
      <c r="G472" t="s">
        <v>150</v>
      </c>
      <c r="H472" t="s">
        <v>26</v>
      </c>
      <c r="I472" t="s">
        <v>27</v>
      </c>
      <c r="J472" t="s">
        <v>28</v>
      </c>
      <c r="K472" t="s">
        <v>68</v>
      </c>
      <c r="L472" t="s">
        <v>38</v>
      </c>
      <c r="M472">
        <v>25</v>
      </c>
      <c r="N472">
        <v>8.99</v>
      </c>
      <c r="O472">
        <v>224.75</v>
      </c>
      <c r="P472">
        <v>0.16</v>
      </c>
      <c r="Q472">
        <v>35.96</v>
      </c>
      <c r="R472">
        <v>188.79</v>
      </c>
      <c r="S472">
        <v>15.1</v>
      </c>
      <c r="T472">
        <v>203.89</v>
      </c>
      <c r="U472" t="s">
        <v>39</v>
      </c>
    </row>
    <row r="473" spans="1:21" x14ac:dyDescent="0.35">
      <c r="A473" t="s">
        <v>587</v>
      </c>
      <c r="B473" s="1">
        <v>45049</v>
      </c>
      <c r="C473">
        <v>2023</v>
      </c>
      <c r="D473" t="s">
        <v>186</v>
      </c>
      <c r="E473" t="s">
        <v>187</v>
      </c>
      <c r="F473" t="s">
        <v>43</v>
      </c>
      <c r="G473" t="s">
        <v>188</v>
      </c>
      <c r="H473" t="s">
        <v>145</v>
      </c>
      <c r="I473" t="s">
        <v>146</v>
      </c>
      <c r="J473" t="s">
        <v>47</v>
      </c>
      <c r="K473" t="s">
        <v>68</v>
      </c>
      <c r="L473" t="s">
        <v>49</v>
      </c>
      <c r="M473">
        <v>14</v>
      </c>
      <c r="N473">
        <v>129.99</v>
      </c>
      <c r="O473">
        <v>1819.86</v>
      </c>
      <c r="P473">
        <v>0.05</v>
      </c>
      <c r="Q473">
        <v>90.99</v>
      </c>
      <c r="R473">
        <v>1728.87</v>
      </c>
      <c r="S473">
        <v>138.31</v>
      </c>
      <c r="T473">
        <v>1867.18</v>
      </c>
      <c r="U473" t="s">
        <v>111</v>
      </c>
    </row>
    <row r="474" spans="1:21" x14ac:dyDescent="0.35">
      <c r="A474" t="s">
        <v>588</v>
      </c>
      <c r="B474" s="1">
        <v>45053</v>
      </c>
      <c r="C474">
        <v>2023</v>
      </c>
      <c r="D474" t="s">
        <v>186</v>
      </c>
      <c r="E474" t="s">
        <v>187</v>
      </c>
      <c r="F474" t="s">
        <v>43</v>
      </c>
      <c r="G474" t="s">
        <v>188</v>
      </c>
      <c r="H474" t="s">
        <v>84</v>
      </c>
      <c r="I474" t="s">
        <v>85</v>
      </c>
      <c r="J474" t="s">
        <v>47</v>
      </c>
      <c r="K474" t="s">
        <v>60</v>
      </c>
      <c r="L474" t="s">
        <v>69</v>
      </c>
      <c r="M474">
        <v>10</v>
      </c>
      <c r="N474">
        <v>249.99</v>
      </c>
      <c r="O474">
        <v>2499.9</v>
      </c>
      <c r="P474">
        <v>0.05</v>
      </c>
      <c r="Q474">
        <v>125</v>
      </c>
      <c r="R474">
        <v>2374.9</v>
      </c>
      <c r="S474">
        <v>189.99</v>
      </c>
      <c r="T474">
        <v>0</v>
      </c>
      <c r="U474" t="s">
        <v>31</v>
      </c>
    </row>
    <row r="475" spans="1:21" x14ac:dyDescent="0.35">
      <c r="A475" t="s">
        <v>589</v>
      </c>
      <c r="B475" s="1">
        <v>45056</v>
      </c>
      <c r="C475">
        <v>2023</v>
      </c>
      <c r="D475" t="s">
        <v>75</v>
      </c>
      <c r="E475" t="s">
        <v>76</v>
      </c>
      <c r="F475" t="s">
        <v>64</v>
      </c>
      <c r="G475" t="s">
        <v>77</v>
      </c>
      <c r="H475" t="s">
        <v>54</v>
      </c>
      <c r="I475" t="s">
        <v>55</v>
      </c>
      <c r="J475" t="s">
        <v>56</v>
      </c>
      <c r="K475" t="s">
        <v>29</v>
      </c>
      <c r="L475" t="s">
        <v>73</v>
      </c>
      <c r="M475">
        <v>17</v>
      </c>
      <c r="N475">
        <v>39.99</v>
      </c>
      <c r="O475">
        <v>679.83</v>
      </c>
      <c r="P475">
        <v>0.05</v>
      </c>
      <c r="Q475">
        <v>33.99</v>
      </c>
      <c r="R475">
        <v>645.84</v>
      </c>
      <c r="S475">
        <v>51.67</v>
      </c>
      <c r="T475">
        <v>0</v>
      </c>
      <c r="U475" t="s">
        <v>31</v>
      </c>
    </row>
    <row r="476" spans="1:21" x14ac:dyDescent="0.35">
      <c r="A476" t="s">
        <v>590</v>
      </c>
      <c r="B476" s="1">
        <v>45061</v>
      </c>
      <c r="C476">
        <v>2023</v>
      </c>
      <c r="D476" t="s">
        <v>97</v>
      </c>
      <c r="E476" t="s">
        <v>98</v>
      </c>
      <c r="F476" t="s">
        <v>35</v>
      </c>
      <c r="G476" t="s">
        <v>99</v>
      </c>
      <c r="H476" t="s">
        <v>208</v>
      </c>
      <c r="I476" t="s">
        <v>209</v>
      </c>
      <c r="J476" t="s">
        <v>47</v>
      </c>
      <c r="K476" t="s">
        <v>37</v>
      </c>
      <c r="L476" t="s">
        <v>73</v>
      </c>
      <c r="M476">
        <v>4</v>
      </c>
      <c r="N476">
        <v>49.99</v>
      </c>
      <c r="O476">
        <v>199.96</v>
      </c>
      <c r="P476">
        <v>0</v>
      </c>
      <c r="Q476">
        <v>0</v>
      </c>
      <c r="R476">
        <v>199.96</v>
      </c>
      <c r="S476">
        <v>16</v>
      </c>
      <c r="T476">
        <v>215.96</v>
      </c>
      <c r="U476" t="s">
        <v>39</v>
      </c>
    </row>
    <row r="477" spans="1:21" x14ac:dyDescent="0.35">
      <c r="A477" t="s">
        <v>591</v>
      </c>
      <c r="B477" s="1">
        <v>45061</v>
      </c>
      <c r="C477">
        <v>2023</v>
      </c>
      <c r="D477" t="s">
        <v>148</v>
      </c>
      <c r="E477" t="s">
        <v>149</v>
      </c>
      <c r="F477" t="s">
        <v>43</v>
      </c>
      <c r="G477" t="s">
        <v>150</v>
      </c>
      <c r="H477" t="s">
        <v>78</v>
      </c>
      <c r="I477" t="s">
        <v>79</v>
      </c>
      <c r="J477" t="s">
        <v>28</v>
      </c>
      <c r="K477" t="s">
        <v>29</v>
      </c>
      <c r="L477" t="s">
        <v>49</v>
      </c>
      <c r="M477">
        <v>15</v>
      </c>
      <c r="N477">
        <v>5.99</v>
      </c>
      <c r="O477">
        <v>89.85</v>
      </c>
      <c r="P477">
        <v>0.05</v>
      </c>
      <c r="Q477">
        <v>4.49</v>
      </c>
      <c r="R477">
        <v>85.36</v>
      </c>
      <c r="S477">
        <v>6.83</v>
      </c>
      <c r="T477">
        <v>92.19</v>
      </c>
      <c r="U477" t="s">
        <v>39</v>
      </c>
    </row>
    <row r="478" spans="1:21" x14ac:dyDescent="0.35">
      <c r="A478" t="s">
        <v>592</v>
      </c>
      <c r="B478" s="1">
        <v>45063</v>
      </c>
      <c r="C478">
        <v>2023</v>
      </c>
      <c r="D478" t="s">
        <v>75</v>
      </c>
      <c r="E478" t="s">
        <v>76</v>
      </c>
      <c r="F478" t="s">
        <v>64</v>
      </c>
      <c r="G478" t="s">
        <v>77</v>
      </c>
      <c r="H478" t="s">
        <v>54</v>
      </c>
      <c r="I478" t="s">
        <v>55</v>
      </c>
      <c r="J478" t="s">
        <v>56</v>
      </c>
      <c r="K478" t="s">
        <v>37</v>
      </c>
      <c r="L478" t="s">
        <v>49</v>
      </c>
      <c r="M478">
        <v>19</v>
      </c>
      <c r="N478">
        <v>39.99</v>
      </c>
      <c r="O478">
        <v>759.81</v>
      </c>
      <c r="P478">
        <v>0.05</v>
      </c>
      <c r="Q478">
        <v>37.99</v>
      </c>
      <c r="R478">
        <v>721.82</v>
      </c>
      <c r="S478">
        <v>57.75</v>
      </c>
      <c r="T478">
        <v>779.57</v>
      </c>
      <c r="U478" t="s">
        <v>39</v>
      </c>
    </row>
    <row r="479" spans="1:21" x14ac:dyDescent="0.35">
      <c r="A479" t="s">
        <v>593</v>
      </c>
      <c r="B479" s="1">
        <v>45064</v>
      </c>
      <c r="C479">
        <v>2023</v>
      </c>
      <c r="D479" t="s">
        <v>22</v>
      </c>
      <c r="E479" t="s">
        <v>23</v>
      </c>
      <c r="F479" t="s">
        <v>24</v>
      </c>
      <c r="G479" t="s">
        <v>25</v>
      </c>
      <c r="H479" t="s">
        <v>54</v>
      </c>
      <c r="I479" t="s">
        <v>55</v>
      </c>
      <c r="J479" t="s">
        <v>56</v>
      </c>
      <c r="K479" t="s">
        <v>37</v>
      </c>
      <c r="L479" t="s">
        <v>73</v>
      </c>
      <c r="M479">
        <v>5</v>
      </c>
      <c r="N479">
        <v>39.99</v>
      </c>
      <c r="O479">
        <v>199.95</v>
      </c>
      <c r="P479">
        <v>0</v>
      </c>
      <c r="Q479">
        <v>0</v>
      </c>
      <c r="R479">
        <v>199.95</v>
      </c>
      <c r="S479">
        <v>16</v>
      </c>
      <c r="T479">
        <v>215.95</v>
      </c>
      <c r="U479" t="s">
        <v>39</v>
      </c>
    </row>
    <row r="480" spans="1:21" x14ac:dyDescent="0.35">
      <c r="A480" t="s">
        <v>594</v>
      </c>
      <c r="B480" s="1">
        <v>45065</v>
      </c>
      <c r="C480">
        <v>2023</v>
      </c>
      <c r="D480" t="s">
        <v>91</v>
      </c>
      <c r="E480" t="s">
        <v>92</v>
      </c>
      <c r="F480" t="s">
        <v>24</v>
      </c>
      <c r="G480" t="s">
        <v>93</v>
      </c>
      <c r="H480" t="s">
        <v>100</v>
      </c>
      <c r="I480" t="s">
        <v>101</v>
      </c>
      <c r="J480" t="s">
        <v>47</v>
      </c>
      <c r="K480" t="s">
        <v>37</v>
      </c>
      <c r="L480" t="s">
        <v>38</v>
      </c>
      <c r="M480">
        <v>25</v>
      </c>
      <c r="N480">
        <v>29.99</v>
      </c>
      <c r="O480">
        <v>749.75</v>
      </c>
      <c r="P480">
        <v>0.16</v>
      </c>
      <c r="Q480">
        <v>119.96</v>
      </c>
      <c r="R480">
        <v>629.79</v>
      </c>
      <c r="S480">
        <v>50.38</v>
      </c>
      <c r="T480">
        <v>680.17</v>
      </c>
      <c r="U480" t="s">
        <v>39</v>
      </c>
    </row>
    <row r="481" spans="1:21" x14ac:dyDescent="0.35">
      <c r="A481" t="s">
        <v>595</v>
      </c>
      <c r="B481" s="1">
        <v>45067</v>
      </c>
      <c r="C481">
        <v>2023</v>
      </c>
      <c r="D481" t="s">
        <v>81</v>
      </c>
      <c r="E481" t="s">
        <v>82</v>
      </c>
      <c r="F481" t="s">
        <v>35</v>
      </c>
      <c r="G481" t="s">
        <v>83</v>
      </c>
      <c r="H481" t="s">
        <v>94</v>
      </c>
      <c r="I481" t="s">
        <v>95</v>
      </c>
      <c r="J481" t="s">
        <v>56</v>
      </c>
      <c r="K481" t="s">
        <v>29</v>
      </c>
      <c r="L481" t="s">
        <v>49</v>
      </c>
      <c r="M481">
        <v>28</v>
      </c>
      <c r="N481">
        <v>349.99</v>
      </c>
      <c r="O481">
        <v>9799.7199999999993</v>
      </c>
      <c r="P481">
        <v>0.08</v>
      </c>
      <c r="Q481">
        <v>783.98</v>
      </c>
      <c r="R481">
        <v>9015.74</v>
      </c>
      <c r="S481">
        <v>721.26</v>
      </c>
      <c r="T481">
        <v>9737</v>
      </c>
      <c r="U481" t="s">
        <v>39</v>
      </c>
    </row>
    <row r="482" spans="1:21" x14ac:dyDescent="0.35">
      <c r="A482" t="s">
        <v>596</v>
      </c>
      <c r="B482" s="1">
        <v>45069</v>
      </c>
      <c r="C482">
        <v>2023</v>
      </c>
      <c r="D482" t="s">
        <v>107</v>
      </c>
      <c r="E482" t="s">
        <v>108</v>
      </c>
      <c r="F482" t="s">
        <v>35</v>
      </c>
      <c r="G482" t="s">
        <v>109</v>
      </c>
      <c r="H482" t="s">
        <v>66</v>
      </c>
      <c r="I482" t="s">
        <v>67</v>
      </c>
      <c r="J482" t="s">
        <v>56</v>
      </c>
      <c r="K482" t="s">
        <v>68</v>
      </c>
      <c r="L482" t="s">
        <v>38</v>
      </c>
      <c r="M482">
        <v>24</v>
      </c>
      <c r="N482">
        <v>229.99</v>
      </c>
      <c r="O482">
        <v>5519.76</v>
      </c>
      <c r="P482">
        <v>0.16</v>
      </c>
      <c r="Q482">
        <v>883.16</v>
      </c>
      <c r="R482">
        <v>4636.6000000000004</v>
      </c>
      <c r="S482">
        <v>370.93</v>
      </c>
      <c r="T482">
        <v>0</v>
      </c>
      <c r="U482" t="s">
        <v>31</v>
      </c>
    </row>
    <row r="483" spans="1:21" x14ac:dyDescent="0.35">
      <c r="A483" t="s">
        <v>597</v>
      </c>
      <c r="B483" s="1">
        <v>45071</v>
      </c>
      <c r="C483">
        <v>2023</v>
      </c>
      <c r="D483" t="s">
        <v>122</v>
      </c>
      <c r="E483" t="s">
        <v>123</v>
      </c>
      <c r="F483" t="s">
        <v>64</v>
      </c>
      <c r="G483" t="s">
        <v>124</v>
      </c>
      <c r="H483" t="s">
        <v>94</v>
      </c>
      <c r="I483" t="s">
        <v>95</v>
      </c>
      <c r="J483" t="s">
        <v>56</v>
      </c>
      <c r="K483" t="s">
        <v>29</v>
      </c>
      <c r="L483" t="s">
        <v>30</v>
      </c>
      <c r="M483">
        <v>25</v>
      </c>
      <c r="N483">
        <v>349.99</v>
      </c>
      <c r="O483">
        <v>8749.75</v>
      </c>
      <c r="P483">
        <v>0.08</v>
      </c>
      <c r="Q483">
        <v>699.98</v>
      </c>
      <c r="R483">
        <v>8049.77</v>
      </c>
      <c r="S483">
        <v>643.98</v>
      </c>
      <c r="T483">
        <v>8693.75</v>
      </c>
      <c r="U483" t="s">
        <v>39</v>
      </c>
    </row>
    <row r="484" spans="1:21" x14ac:dyDescent="0.35">
      <c r="A484" t="s">
        <v>598</v>
      </c>
      <c r="B484" s="1">
        <v>45072</v>
      </c>
      <c r="C484">
        <v>2023</v>
      </c>
      <c r="D484" t="s">
        <v>142</v>
      </c>
      <c r="E484" t="s">
        <v>143</v>
      </c>
      <c r="F484" t="s">
        <v>43</v>
      </c>
      <c r="G484" t="s">
        <v>144</v>
      </c>
      <c r="H484" t="s">
        <v>104</v>
      </c>
      <c r="I484" t="s">
        <v>105</v>
      </c>
      <c r="J484" t="s">
        <v>47</v>
      </c>
      <c r="K484" t="s">
        <v>60</v>
      </c>
      <c r="L484" t="s">
        <v>49</v>
      </c>
      <c r="M484">
        <v>27</v>
      </c>
      <c r="N484">
        <v>479.99</v>
      </c>
      <c r="O484">
        <v>12959.73</v>
      </c>
      <c r="P484">
        <v>0.08</v>
      </c>
      <c r="Q484">
        <v>1036.78</v>
      </c>
      <c r="R484">
        <v>11922.95</v>
      </c>
      <c r="S484">
        <v>953.84</v>
      </c>
      <c r="T484">
        <v>12876.79</v>
      </c>
      <c r="U484" t="s">
        <v>39</v>
      </c>
    </row>
    <row r="485" spans="1:21" x14ac:dyDescent="0.35">
      <c r="A485" t="s">
        <v>599</v>
      </c>
      <c r="B485" s="1">
        <v>45074</v>
      </c>
      <c r="C485">
        <v>2023</v>
      </c>
      <c r="D485" t="s">
        <v>62</v>
      </c>
      <c r="E485" t="s">
        <v>63</v>
      </c>
      <c r="F485" t="s">
        <v>64</v>
      </c>
      <c r="G485" t="s">
        <v>65</v>
      </c>
      <c r="H485" t="s">
        <v>125</v>
      </c>
      <c r="I485" t="s">
        <v>126</v>
      </c>
      <c r="J485" t="s">
        <v>28</v>
      </c>
      <c r="K485" t="s">
        <v>29</v>
      </c>
      <c r="L485" t="s">
        <v>30</v>
      </c>
      <c r="M485">
        <v>16</v>
      </c>
      <c r="N485">
        <v>79.989999999999995</v>
      </c>
      <c r="O485">
        <v>1279.8399999999999</v>
      </c>
      <c r="P485">
        <v>0.05</v>
      </c>
      <c r="Q485">
        <v>63.99</v>
      </c>
      <c r="R485">
        <v>1215.8499999999999</v>
      </c>
      <c r="S485">
        <v>97.27</v>
      </c>
      <c r="T485">
        <v>1313.12</v>
      </c>
      <c r="U485" t="s">
        <v>39</v>
      </c>
    </row>
    <row r="486" spans="1:21" x14ac:dyDescent="0.35">
      <c r="A486" t="s">
        <v>600</v>
      </c>
      <c r="B486" s="1">
        <v>45076</v>
      </c>
      <c r="C486">
        <v>2023</v>
      </c>
      <c r="D486" t="s">
        <v>81</v>
      </c>
      <c r="E486" t="s">
        <v>82</v>
      </c>
      <c r="F486" t="s">
        <v>35</v>
      </c>
      <c r="G486" t="s">
        <v>83</v>
      </c>
      <c r="H486" t="s">
        <v>71</v>
      </c>
      <c r="I486" t="s">
        <v>72</v>
      </c>
      <c r="J486" t="s">
        <v>47</v>
      </c>
      <c r="K486" t="s">
        <v>60</v>
      </c>
      <c r="L486" t="s">
        <v>73</v>
      </c>
      <c r="M486">
        <v>26</v>
      </c>
      <c r="N486">
        <v>1199.99</v>
      </c>
      <c r="O486">
        <v>31199.74</v>
      </c>
      <c r="P486">
        <v>0.08</v>
      </c>
      <c r="Q486">
        <v>2495.98</v>
      </c>
      <c r="R486">
        <v>28703.759999999998</v>
      </c>
      <c r="S486">
        <v>2296.3000000000002</v>
      </c>
      <c r="T486">
        <v>31000.06</v>
      </c>
      <c r="U486" t="s">
        <v>39</v>
      </c>
    </row>
    <row r="487" spans="1:21" x14ac:dyDescent="0.35">
      <c r="A487" t="s">
        <v>601</v>
      </c>
      <c r="B487" s="1">
        <v>45079</v>
      </c>
      <c r="C487">
        <v>2023</v>
      </c>
      <c r="D487" t="s">
        <v>41</v>
      </c>
      <c r="E487" t="s">
        <v>42</v>
      </c>
      <c r="F487" t="s">
        <v>43</v>
      </c>
      <c r="G487" t="s">
        <v>44</v>
      </c>
      <c r="H487" t="s">
        <v>104</v>
      </c>
      <c r="I487" t="s">
        <v>105</v>
      </c>
      <c r="J487" t="s">
        <v>47</v>
      </c>
      <c r="K487" t="s">
        <v>48</v>
      </c>
      <c r="L487" t="s">
        <v>73</v>
      </c>
      <c r="M487">
        <v>23</v>
      </c>
      <c r="N487">
        <v>479.99</v>
      </c>
      <c r="O487">
        <v>11039.77</v>
      </c>
      <c r="P487">
        <v>0.08</v>
      </c>
      <c r="Q487">
        <v>883.18</v>
      </c>
      <c r="R487">
        <v>10156.59</v>
      </c>
      <c r="S487">
        <v>812.53</v>
      </c>
      <c r="T487">
        <v>10969.12</v>
      </c>
      <c r="U487" t="s">
        <v>111</v>
      </c>
    </row>
    <row r="488" spans="1:21" x14ac:dyDescent="0.35">
      <c r="A488" t="s">
        <v>602</v>
      </c>
      <c r="B488" s="1">
        <v>45080</v>
      </c>
      <c r="C488">
        <v>2023</v>
      </c>
      <c r="D488" t="s">
        <v>33</v>
      </c>
      <c r="E488" t="s">
        <v>34</v>
      </c>
      <c r="F488" t="s">
        <v>35</v>
      </c>
      <c r="G488" t="s">
        <v>36</v>
      </c>
      <c r="H488" t="s">
        <v>145</v>
      </c>
      <c r="I488" t="s">
        <v>146</v>
      </c>
      <c r="J488" t="s">
        <v>47</v>
      </c>
      <c r="K488" t="s">
        <v>68</v>
      </c>
      <c r="L488" t="s">
        <v>69</v>
      </c>
      <c r="M488">
        <v>12</v>
      </c>
      <c r="N488">
        <v>129.99</v>
      </c>
      <c r="O488">
        <v>1559.88</v>
      </c>
      <c r="P488">
        <v>0.05</v>
      </c>
      <c r="Q488">
        <v>77.989999999999995</v>
      </c>
      <c r="R488">
        <v>1481.89</v>
      </c>
      <c r="S488">
        <v>118.55</v>
      </c>
      <c r="T488">
        <v>1600.44</v>
      </c>
      <c r="U488" t="s">
        <v>39</v>
      </c>
    </row>
    <row r="489" spans="1:21" x14ac:dyDescent="0.35">
      <c r="A489" t="s">
        <v>603</v>
      </c>
      <c r="B489" s="1">
        <v>45081</v>
      </c>
      <c r="C489">
        <v>2023</v>
      </c>
      <c r="D489" t="s">
        <v>186</v>
      </c>
      <c r="E489" t="s">
        <v>187</v>
      </c>
      <c r="F489" t="s">
        <v>43</v>
      </c>
      <c r="G489" t="s">
        <v>188</v>
      </c>
      <c r="H489" t="s">
        <v>78</v>
      </c>
      <c r="I489" t="s">
        <v>79</v>
      </c>
      <c r="J489" t="s">
        <v>28</v>
      </c>
      <c r="K489" t="s">
        <v>37</v>
      </c>
      <c r="L489" t="s">
        <v>69</v>
      </c>
      <c r="M489">
        <v>29</v>
      </c>
      <c r="N489">
        <v>5.99</v>
      </c>
      <c r="O489">
        <v>173.71</v>
      </c>
      <c r="P489">
        <v>0.08</v>
      </c>
      <c r="Q489">
        <v>13.9</v>
      </c>
      <c r="R489">
        <v>159.81</v>
      </c>
      <c r="S489">
        <v>12.78</v>
      </c>
      <c r="T489">
        <v>172.59</v>
      </c>
      <c r="U489" t="s">
        <v>111</v>
      </c>
    </row>
    <row r="490" spans="1:21" x14ac:dyDescent="0.35">
      <c r="A490" t="s">
        <v>604</v>
      </c>
      <c r="B490" s="1">
        <v>45083</v>
      </c>
      <c r="C490">
        <v>2023</v>
      </c>
      <c r="D490" t="s">
        <v>62</v>
      </c>
      <c r="E490" t="s">
        <v>63</v>
      </c>
      <c r="F490" t="s">
        <v>64</v>
      </c>
      <c r="G490" t="s">
        <v>65</v>
      </c>
      <c r="H490" t="s">
        <v>125</v>
      </c>
      <c r="I490" t="s">
        <v>126</v>
      </c>
      <c r="J490" t="s">
        <v>28</v>
      </c>
      <c r="K490" t="s">
        <v>29</v>
      </c>
      <c r="L490" t="s">
        <v>69</v>
      </c>
      <c r="M490">
        <v>21</v>
      </c>
      <c r="N490">
        <v>79.989999999999995</v>
      </c>
      <c r="O490">
        <v>1679.79</v>
      </c>
      <c r="P490">
        <v>0.08</v>
      </c>
      <c r="Q490">
        <v>134.38</v>
      </c>
      <c r="R490">
        <v>1545.41</v>
      </c>
      <c r="S490">
        <v>123.63</v>
      </c>
      <c r="T490">
        <v>1669.04</v>
      </c>
      <c r="U490" t="s">
        <v>39</v>
      </c>
    </row>
    <row r="491" spans="1:21" x14ac:dyDescent="0.35">
      <c r="A491" t="s">
        <v>605</v>
      </c>
      <c r="B491" s="1">
        <v>45086</v>
      </c>
      <c r="C491">
        <v>2023</v>
      </c>
      <c r="D491" t="s">
        <v>122</v>
      </c>
      <c r="E491" t="s">
        <v>123</v>
      </c>
      <c r="F491" t="s">
        <v>64</v>
      </c>
      <c r="G491" t="s">
        <v>124</v>
      </c>
      <c r="H491" t="s">
        <v>71</v>
      </c>
      <c r="I491" t="s">
        <v>72</v>
      </c>
      <c r="J491" t="s">
        <v>47</v>
      </c>
      <c r="K491" t="s">
        <v>68</v>
      </c>
      <c r="L491" t="s">
        <v>38</v>
      </c>
      <c r="M491">
        <v>25</v>
      </c>
      <c r="N491">
        <v>1199.99</v>
      </c>
      <c r="O491">
        <v>29999.75</v>
      </c>
      <c r="P491">
        <v>0.16</v>
      </c>
      <c r="Q491">
        <v>4799.96</v>
      </c>
      <c r="R491">
        <v>25199.79</v>
      </c>
      <c r="S491">
        <v>2015.98</v>
      </c>
      <c r="T491">
        <v>27215.77</v>
      </c>
      <c r="U491" t="s">
        <v>39</v>
      </c>
    </row>
    <row r="492" spans="1:21" x14ac:dyDescent="0.35">
      <c r="A492" t="s">
        <v>606</v>
      </c>
      <c r="B492" s="1">
        <v>45087</v>
      </c>
      <c r="C492">
        <v>2023</v>
      </c>
      <c r="D492" t="s">
        <v>186</v>
      </c>
      <c r="E492" t="s">
        <v>187</v>
      </c>
      <c r="F492" t="s">
        <v>43</v>
      </c>
      <c r="G492" t="s">
        <v>188</v>
      </c>
      <c r="H492" t="s">
        <v>125</v>
      </c>
      <c r="I492" t="s">
        <v>126</v>
      </c>
      <c r="J492" t="s">
        <v>28</v>
      </c>
      <c r="K492" t="s">
        <v>48</v>
      </c>
      <c r="L492" t="s">
        <v>69</v>
      </c>
      <c r="M492">
        <v>5</v>
      </c>
      <c r="N492">
        <v>79.989999999999995</v>
      </c>
      <c r="O492">
        <v>399.95</v>
      </c>
      <c r="P492">
        <v>0</v>
      </c>
      <c r="Q492">
        <v>0</v>
      </c>
      <c r="R492">
        <v>399.95</v>
      </c>
      <c r="S492">
        <v>32</v>
      </c>
      <c r="T492">
        <v>431.95</v>
      </c>
      <c r="U492" t="s">
        <v>111</v>
      </c>
    </row>
    <row r="493" spans="1:21" x14ac:dyDescent="0.35">
      <c r="A493" t="s">
        <v>607</v>
      </c>
      <c r="B493" s="1">
        <v>45090</v>
      </c>
      <c r="C493">
        <v>2023</v>
      </c>
      <c r="D493" t="s">
        <v>142</v>
      </c>
      <c r="E493" t="s">
        <v>143</v>
      </c>
      <c r="F493" t="s">
        <v>43</v>
      </c>
      <c r="G493" t="s">
        <v>144</v>
      </c>
      <c r="H493" t="s">
        <v>145</v>
      </c>
      <c r="I493" t="s">
        <v>146</v>
      </c>
      <c r="J493" t="s">
        <v>47</v>
      </c>
      <c r="K493" t="s">
        <v>37</v>
      </c>
      <c r="L493" t="s">
        <v>73</v>
      </c>
      <c r="M493">
        <v>30</v>
      </c>
      <c r="N493">
        <v>129.99</v>
      </c>
      <c r="O493">
        <v>3899.7</v>
      </c>
      <c r="P493">
        <v>0.08</v>
      </c>
      <c r="Q493">
        <v>311.98</v>
      </c>
      <c r="R493">
        <v>3587.72</v>
      </c>
      <c r="S493">
        <v>287.02</v>
      </c>
      <c r="T493">
        <v>3874.74</v>
      </c>
      <c r="U493" t="s">
        <v>39</v>
      </c>
    </row>
    <row r="494" spans="1:21" x14ac:dyDescent="0.35">
      <c r="A494" t="s">
        <v>608</v>
      </c>
      <c r="B494" s="1">
        <v>45091</v>
      </c>
      <c r="C494">
        <v>2023</v>
      </c>
      <c r="D494" t="s">
        <v>97</v>
      </c>
      <c r="E494" t="s">
        <v>98</v>
      </c>
      <c r="F494" t="s">
        <v>35</v>
      </c>
      <c r="G494" t="s">
        <v>99</v>
      </c>
      <c r="H494" t="s">
        <v>128</v>
      </c>
      <c r="I494" t="s">
        <v>129</v>
      </c>
      <c r="J494" t="s">
        <v>47</v>
      </c>
      <c r="K494" t="s">
        <v>60</v>
      </c>
      <c r="L494" t="s">
        <v>30</v>
      </c>
      <c r="M494">
        <v>10</v>
      </c>
      <c r="N494">
        <v>399.99</v>
      </c>
      <c r="O494">
        <v>3999.9</v>
      </c>
      <c r="P494">
        <v>0.05</v>
      </c>
      <c r="Q494">
        <v>200</v>
      </c>
      <c r="R494">
        <v>3799.9</v>
      </c>
      <c r="S494">
        <v>303.99</v>
      </c>
      <c r="T494">
        <v>4103.8900000000003</v>
      </c>
      <c r="U494" t="s">
        <v>39</v>
      </c>
    </row>
    <row r="495" spans="1:21" x14ac:dyDescent="0.35">
      <c r="A495" t="s">
        <v>609</v>
      </c>
      <c r="B495" s="1">
        <v>45094</v>
      </c>
      <c r="C495">
        <v>2023</v>
      </c>
      <c r="D495" t="s">
        <v>33</v>
      </c>
      <c r="E495" t="s">
        <v>34</v>
      </c>
      <c r="F495" t="s">
        <v>35</v>
      </c>
      <c r="G495" t="s">
        <v>36</v>
      </c>
      <c r="H495" t="s">
        <v>58</v>
      </c>
      <c r="I495" t="s">
        <v>59</v>
      </c>
      <c r="J495" t="s">
        <v>56</v>
      </c>
      <c r="K495" t="s">
        <v>48</v>
      </c>
      <c r="L495" t="s">
        <v>73</v>
      </c>
      <c r="M495">
        <v>18</v>
      </c>
      <c r="N495">
        <v>599.99</v>
      </c>
      <c r="O495">
        <v>10799.82</v>
      </c>
      <c r="P495">
        <v>0.05</v>
      </c>
      <c r="Q495">
        <v>539.99</v>
      </c>
      <c r="R495">
        <v>10259.83</v>
      </c>
      <c r="S495">
        <v>820.79</v>
      </c>
      <c r="T495">
        <v>11080.62</v>
      </c>
      <c r="U495" t="s">
        <v>39</v>
      </c>
    </row>
    <row r="496" spans="1:21" x14ac:dyDescent="0.35">
      <c r="A496" t="s">
        <v>610</v>
      </c>
      <c r="B496" s="1">
        <v>45095</v>
      </c>
      <c r="C496">
        <v>2023</v>
      </c>
      <c r="D496" t="s">
        <v>91</v>
      </c>
      <c r="E496" t="s">
        <v>92</v>
      </c>
      <c r="F496" t="s">
        <v>24</v>
      </c>
      <c r="G496" t="s">
        <v>93</v>
      </c>
      <c r="H496" t="s">
        <v>58</v>
      </c>
      <c r="I496" t="s">
        <v>59</v>
      </c>
      <c r="J496" t="s">
        <v>56</v>
      </c>
      <c r="K496" t="s">
        <v>60</v>
      </c>
      <c r="L496" t="s">
        <v>49</v>
      </c>
      <c r="M496">
        <v>13</v>
      </c>
      <c r="N496">
        <v>599.99</v>
      </c>
      <c r="O496">
        <v>7799.87</v>
      </c>
      <c r="P496">
        <v>0.05</v>
      </c>
      <c r="Q496">
        <v>389.99</v>
      </c>
      <c r="R496">
        <v>7409.88</v>
      </c>
      <c r="S496">
        <v>592.79</v>
      </c>
      <c r="T496">
        <v>0</v>
      </c>
      <c r="U496" t="s">
        <v>31</v>
      </c>
    </row>
    <row r="497" spans="1:21" x14ac:dyDescent="0.35">
      <c r="A497" t="s">
        <v>611</v>
      </c>
      <c r="B497" s="1">
        <v>45102</v>
      </c>
      <c r="C497">
        <v>2023</v>
      </c>
      <c r="D497" t="s">
        <v>87</v>
      </c>
      <c r="E497" t="s">
        <v>88</v>
      </c>
      <c r="F497" t="s">
        <v>24</v>
      </c>
      <c r="G497" t="s">
        <v>89</v>
      </c>
      <c r="H497" t="s">
        <v>94</v>
      </c>
      <c r="I497" t="s">
        <v>95</v>
      </c>
      <c r="J497" t="s">
        <v>56</v>
      </c>
      <c r="K497" t="s">
        <v>60</v>
      </c>
      <c r="L497" t="s">
        <v>69</v>
      </c>
      <c r="M497">
        <v>23</v>
      </c>
      <c r="N497">
        <v>349.99</v>
      </c>
      <c r="O497">
        <v>8049.77</v>
      </c>
      <c r="P497">
        <v>0.08</v>
      </c>
      <c r="Q497">
        <v>643.98</v>
      </c>
      <c r="R497">
        <v>7405.79</v>
      </c>
      <c r="S497">
        <v>592.46</v>
      </c>
      <c r="T497">
        <v>7998.25</v>
      </c>
      <c r="U497" t="s">
        <v>39</v>
      </c>
    </row>
    <row r="498" spans="1:21" x14ac:dyDescent="0.35">
      <c r="A498" t="s">
        <v>612</v>
      </c>
      <c r="B498" s="1">
        <v>45103</v>
      </c>
      <c r="C498">
        <v>2023</v>
      </c>
      <c r="D498" t="s">
        <v>142</v>
      </c>
      <c r="E498" t="s">
        <v>143</v>
      </c>
      <c r="F498" t="s">
        <v>43</v>
      </c>
      <c r="G498" t="s">
        <v>144</v>
      </c>
      <c r="H498" t="s">
        <v>78</v>
      </c>
      <c r="I498" t="s">
        <v>79</v>
      </c>
      <c r="J498" t="s">
        <v>28</v>
      </c>
      <c r="K498" t="s">
        <v>48</v>
      </c>
      <c r="L498" t="s">
        <v>69</v>
      </c>
      <c r="M498">
        <v>14</v>
      </c>
      <c r="N498">
        <v>5.99</v>
      </c>
      <c r="O498">
        <v>83.86</v>
      </c>
      <c r="P498">
        <v>0.05</v>
      </c>
      <c r="Q498">
        <v>4.1900000000000004</v>
      </c>
      <c r="R498">
        <v>79.67</v>
      </c>
      <c r="S498">
        <v>6.37</v>
      </c>
      <c r="T498">
        <v>86.04</v>
      </c>
      <c r="U498" t="s">
        <v>39</v>
      </c>
    </row>
    <row r="499" spans="1:21" x14ac:dyDescent="0.35">
      <c r="A499" t="s">
        <v>613</v>
      </c>
      <c r="B499" s="1">
        <v>45104</v>
      </c>
      <c r="C499">
        <v>2023</v>
      </c>
      <c r="D499" t="s">
        <v>87</v>
      </c>
      <c r="E499" t="s">
        <v>88</v>
      </c>
      <c r="F499" t="s">
        <v>24</v>
      </c>
      <c r="G499" t="s">
        <v>89</v>
      </c>
      <c r="H499" t="s">
        <v>145</v>
      </c>
      <c r="I499" t="s">
        <v>146</v>
      </c>
      <c r="J499" t="s">
        <v>47</v>
      </c>
      <c r="K499" t="s">
        <v>60</v>
      </c>
      <c r="L499" t="s">
        <v>73</v>
      </c>
      <c r="M499">
        <v>15</v>
      </c>
      <c r="N499">
        <v>129.99</v>
      </c>
      <c r="O499">
        <v>1949.85</v>
      </c>
      <c r="P499">
        <v>0.05</v>
      </c>
      <c r="Q499">
        <v>97.49</v>
      </c>
      <c r="R499">
        <v>1852.36</v>
      </c>
      <c r="S499">
        <v>148.19</v>
      </c>
      <c r="T499">
        <v>2000.55</v>
      </c>
      <c r="U499" t="s">
        <v>39</v>
      </c>
    </row>
    <row r="500" spans="1:21" x14ac:dyDescent="0.35">
      <c r="A500" t="s">
        <v>614</v>
      </c>
      <c r="B500" s="1">
        <v>45105</v>
      </c>
      <c r="C500">
        <v>2023</v>
      </c>
      <c r="D500" t="s">
        <v>33</v>
      </c>
      <c r="E500" t="s">
        <v>34</v>
      </c>
      <c r="F500" t="s">
        <v>35</v>
      </c>
      <c r="G500" t="s">
        <v>36</v>
      </c>
      <c r="H500" t="s">
        <v>145</v>
      </c>
      <c r="I500" t="s">
        <v>146</v>
      </c>
      <c r="J500" t="s">
        <v>47</v>
      </c>
      <c r="K500" t="s">
        <v>48</v>
      </c>
      <c r="L500" t="s">
        <v>73</v>
      </c>
      <c r="M500">
        <v>28</v>
      </c>
      <c r="N500">
        <v>129.99</v>
      </c>
      <c r="O500">
        <v>3639.72</v>
      </c>
      <c r="P500">
        <v>0.08</v>
      </c>
      <c r="Q500">
        <v>291.18</v>
      </c>
      <c r="R500">
        <v>3348.54</v>
      </c>
      <c r="S500">
        <v>267.88</v>
      </c>
      <c r="T500">
        <v>3616.42</v>
      </c>
      <c r="U500" t="s">
        <v>111</v>
      </c>
    </row>
    <row r="501" spans="1:21" x14ac:dyDescent="0.35">
      <c r="A501" t="s">
        <v>615</v>
      </c>
      <c r="B501" s="1">
        <v>45107</v>
      </c>
      <c r="C501">
        <v>2023</v>
      </c>
      <c r="D501" t="s">
        <v>41</v>
      </c>
      <c r="E501" t="s">
        <v>42</v>
      </c>
      <c r="F501" t="s">
        <v>43</v>
      </c>
      <c r="G501" t="s">
        <v>44</v>
      </c>
      <c r="H501" t="s">
        <v>78</v>
      </c>
      <c r="I501" t="s">
        <v>79</v>
      </c>
      <c r="J501" t="s">
        <v>28</v>
      </c>
      <c r="K501" t="s">
        <v>60</v>
      </c>
      <c r="L501" t="s">
        <v>73</v>
      </c>
      <c r="M501">
        <v>26</v>
      </c>
      <c r="N501">
        <v>5.99</v>
      </c>
      <c r="O501">
        <v>155.74</v>
      </c>
      <c r="P501">
        <v>0.08</v>
      </c>
      <c r="Q501">
        <v>12.46</v>
      </c>
      <c r="R501">
        <v>143.28</v>
      </c>
      <c r="S501">
        <v>11.46</v>
      </c>
      <c r="T501">
        <v>154.74</v>
      </c>
      <c r="U501" t="s">
        <v>111</v>
      </c>
    </row>
    <row r="502" spans="1:21" x14ac:dyDescent="0.35">
      <c r="A502" t="s">
        <v>616</v>
      </c>
      <c r="B502" s="1">
        <v>45107</v>
      </c>
      <c r="C502">
        <v>2023</v>
      </c>
      <c r="D502" t="s">
        <v>186</v>
      </c>
      <c r="E502" t="s">
        <v>187</v>
      </c>
      <c r="F502" t="s">
        <v>43</v>
      </c>
      <c r="G502" t="s">
        <v>188</v>
      </c>
      <c r="H502" t="s">
        <v>145</v>
      </c>
      <c r="I502" t="s">
        <v>146</v>
      </c>
      <c r="J502" t="s">
        <v>47</v>
      </c>
      <c r="K502" t="s">
        <v>60</v>
      </c>
      <c r="L502" t="s">
        <v>30</v>
      </c>
      <c r="M502">
        <v>12</v>
      </c>
      <c r="N502">
        <v>129.99</v>
      </c>
      <c r="O502">
        <v>1559.88</v>
      </c>
      <c r="P502">
        <v>0.05</v>
      </c>
      <c r="Q502">
        <v>77.989999999999995</v>
      </c>
      <c r="R502">
        <v>1481.89</v>
      </c>
      <c r="S502">
        <v>118.55</v>
      </c>
      <c r="T502">
        <v>1600.44</v>
      </c>
      <c r="U502" t="s">
        <v>39</v>
      </c>
    </row>
    <row r="503" spans="1:21" x14ac:dyDescent="0.35">
      <c r="A503" t="s">
        <v>617</v>
      </c>
      <c r="B503" s="1">
        <v>45108</v>
      </c>
      <c r="C503">
        <v>2023</v>
      </c>
      <c r="D503" t="s">
        <v>87</v>
      </c>
      <c r="E503" t="s">
        <v>88</v>
      </c>
      <c r="F503" t="s">
        <v>24</v>
      </c>
      <c r="G503" t="s">
        <v>89</v>
      </c>
      <c r="H503" t="s">
        <v>54</v>
      </c>
      <c r="I503" t="s">
        <v>55</v>
      </c>
      <c r="J503" t="s">
        <v>56</v>
      </c>
      <c r="K503" t="s">
        <v>60</v>
      </c>
      <c r="L503" t="s">
        <v>69</v>
      </c>
      <c r="M503">
        <v>3</v>
      </c>
      <c r="N503">
        <v>39.99</v>
      </c>
      <c r="O503">
        <v>119.97</v>
      </c>
      <c r="P503">
        <v>0</v>
      </c>
      <c r="Q503">
        <v>0</v>
      </c>
      <c r="R503">
        <v>119.97</v>
      </c>
      <c r="S503">
        <v>9.6</v>
      </c>
      <c r="T503">
        <v>129.57</v>
      </c>
      <c r="U503" t="s">
        <v>39</v>
      </c>
    </row>
    <row r="504" spans="1:21" x14ac:dyDescent="0.35">
      <c r="A504" t="s">
        <v>618</v>
      </c>
      <c r="B504" s="1">
        <v>45110</v>
      </c>
      <c r="C504">
        <v>2023</v>
      </c>
      <c r="D504" t="s">
        <v>75</v>
      </c>
      <c r="E504" t="s">
        <v>76</v>
      </c>
      <c r="F504" t="s">
        <v>64</v>
      </c>
      <c r="G504" t="s">
        <v>77</v>
      </c>
      <c r="H504" t="s">
        <v>208</v>
      </c>
      <c r="I504" t="s">
        <v>209</v>
      </c>
      <c r="J504" t="s">
        <v>47</v>
      </c>
      <c r="K504" t="s">
        <v>37</v>
      </c>
      <c r="L504" t="s">
        <v>38</v>
      </c>
      <c r="M504">
        <v>2</v>
      </c>
      <c r="N504">
        <v>49.99</v>
      </c>
      <c r="O504">
        <v>99.98</v>
      </c>
      <c r="P504">
        <v>0.08</v>
      </c>
      <c r="Q504">
        <v>8</v>
      </c>
      <c r="R504">
        <v>91.98</v>
      </c>
      <c r="S504">
        <v>7.36</v>
      </c>
      <c r="T504">
        <v>0</v>
      </c>
      <c r="U504" t="s">
        <v>31</v>
      </c>
    </row>
    <row r="505" spans="1:21" x14ac:dyDescent="0.35">
      <c r="A505" t="s">
        <v>619</v>
      </c>
      <c r="B505" s="1">
        <v>45111</v>
      </c>
      <c r="C505">
        <v>2023</v>
      </c>
      <c r="D505" t="s">
        <v>41</v>
      </c>
      <c r="E505" t="s">
        <v>42</v>
      </c>
      <c r="F505" t="s">
        <v>43</v>
      </c>
      <c r="G505" t="s">
        <v>44</v>
      </c>
      <c r="H505" t="s">
        <v>145</v>
      </c>
      <c r="I505" t="s">
        <v>146</v>
      </c>
      <c r="J505" t="s">
        <v>47</v>
      </c>
      <c r="K505" t="s">
        <v>48</v>
      </c>
      <c r="L505" t="s">
        <v>49</v>
      </c>
      <c r="M505">
        <v>9</v>
      </c>
      <c r="N505">
        <v>129.99</v>
      </c>
      <c r="O505">
        <v>1169.9100000000001</v>
      </c>
      <c r="P505">
        <v>0</v>
      </c>
      <c r="Q505">
        <v>0</v>
      </c>
      <c r="R505">
        <v>1169.9100000000001</v>
      </c>
      <c r="S505">
        <v>93.59</v>
      </c>
      <c r="T505">
        <v>1263.5</v>
      </c>
      <c r="U505" t="s">
        <v>39</v>
      </c>
    </row>
    <row r="506" spans="1:21" x14ac:dyDescent="0.35">
      <c r="A506" t="s">
        <v>620</v>
      </c>
      <c r="B506" s="1">
        <v>45111</v>
      </c>
      <c r="C506">
        <v>2023</v>
      </c>
      <c r="D506" t="s">
        <v>87</v>
      </c>
      <c r="E506" t="s">
        <v>88</v>
      </c>
      <c r="F506" t="s">
        <v>24</v>
      </c>
      <c r="G506" t="s">
        <v>89</v>
      </c>
      <c r="H506" t="s">
        <v>145</v>
      </c>
      <c r="I506" t="s">
        <v>146</v>
      </c>
      <c r="J506" t="s">
        <v>47</v>
      </c>
      <c r="K506" t="s">
        <v>48</v>
      </c>
      <c r="L506" t="s">
        <v>38</v>
      </c>
      <c r="M506">
        <v>2</v>
      </c>
      <c r="N506">
        <v>129.99</v>
      </c>
      <c r="O506">
        <v>259.98</v>
      </c>
      <c r="P506">
        <v>0.08</v>
      </c>
      <c r="Q506">
        <v>20.8</v>
      </c>
      <c r="R506">
        <v>239.18</v>
      </c>
      <c r="S506">
        <v>19.13</v>
      </c>
      <c r="T506">
        <v>0</v>
      </c>
      <c r="U506" t="s">
        <v>31</v>
      </c>
    </row>
    <row r="507" spans="1:21" x14ac:dyDescent="0.35">
      <c r="A507" t="s">
        <v>621</v>
      </c>
      <c r="B507" s="1">
        <v>45113</v>
      </c>
      <c r="C507">
        <v>2023</v>
      </c>
      <c r="D507" t="s">
        <v>148</v>
      </c>
      <c r="E507" t="s">
        <v>149</v>
      </c>
      <c r="F507" t="s">
        <v>43</v>
      </c>
      <c r="G507" t="s">
        <v>150</v>
      </c>
      <c r="H507" t="s">
        <v>71</v>
      </c>
      <c r="I507" t="s">
        <v>72</v>
      </c>
      <c r="J507" t="s">
        <v>47</v>
      </c>
      <c r="K507" t="s">
        <v>68</v>
      </c>
      <c r="L507" t="s">
        <v>73</v>
      </c>
      <c r="M507">
        <v>16</v>
      </c>
      <c r="N507">
        <v>1199.99</v>
      </c>
      <c r="O507">
        <v>19199.84</v>
      </c>
      <c r="P507">
        <v>0.05</v>
      </c>
      <c r="Q507">
        <v>959.99</v>
      </c>
      <c r="R507">
        <v>18239.849999999999</v>
      </c>
      <c r="S507">
        <v>1459.19</v>
      </c>
      <c r="T507">
        <v>19699.04</v>
      </c>
      <c r="U507" t="s">
        <v>39</v>
      </c>
    </row>
    <row r="508" spans="1:21" x14ac:dyDescent="0.35">
      <c r="A508" t="s">
        <v>622</v>
      </c>
      <c r="B508" s="1">
        <v>45118</v>
      </c>
      <c r="C508">
        <v>2023</v>
      </c>
      <c r="D508" t="s">
        <v>41</v>
      </c>
      <c r="E508" t="s">
        <v>42</v>
      </c>
      <c r="F508" t="s">
        <v>43</v>
      </c>
      <c r="G508" t="s">
        <v>44</v>
      </c>
      <c r="H508" t="s">
        <v>208</v>
      </c>
      <c r="I508" t="s">
        <v>209</v>
      </c>
      <c r="J508" t="s">
        <v>47</v>
      </c>
      <c r="K508" t="s">
        <v>29</v>
      </c>
      <c r="L508" t="s">
        <v>38</v>
      </c>
      <c r="M508">
        <v>20</v>
      </c>
      <c r="N508">
        <v>49.99</v>
      </c>
      <c r="O508">
        <v>999.8</v>
      </c>
      <c r="P508">
        <v>0.16</v>
      </c>
      <c r="Q508">
        <v>159.97</v>
      </c>
      <c r="R508">
        <v>839.83</v>
      </c>
      <c r="S508">
        <v>67.19</v>
      </c>
      <c r="T508">
        <v>907.02</v>
      </c>
      <c r="U508" t="s">
        <v>111</v>
      </c>
    </row>
    <row r="509" spans="1:21" x14ac:dyDescent="0.35">
      <c r="A509" t="s">
        <v>623</v>
      </c>
      <c r="B509" s="1">
        <v>45119</v>
      </c>
      <c r="C509">
        <v>2023</v>
      </c>
      <c r="D509" t="s">
        <v>51</v>
      </c>
      <c r="E509" t="s">
        <v>52</v>
      </c>
      <c r="F509" t="s">
        <v>24</v>
      </c>
      <c r="G509" t="s">
        <v>53</v>
      </c>
      <c r="H509" t="s">
        <v>26</v>
      </c>
      <c r="I509" t="s">
        <v>27</v>
      </c>
      <c r="J509" t="s">
        <v>28</v>
      </c>
      <c r="K509" t="s">
        <v>60</v>
      </c>
      <c r="L509" t="s">
        <v>30</v>
      </c>
      <c r="M509">
        <v>11</v>
      </c>
      <c r="N509">
        <v>8.99</v>
      </c>
      <c r="O509">
        <v>98.89</v>
      </c>
      <c r="P509">
        <v>0.05</v>
      </c>
      <c r="Q509">
        <v>4.9400000000000004</v>
      </c>
      <c r="R509">
        <v>93.95</v>
      </c>
      <c r="S509">
        <v>7.52</v>
      </c>
      <c r="T509">
        <v>101.47</v>
      </c>
      <c r="U509" t="s">
        <v>39</v>
      </c>
    </row>
    <row r="510" spans="1:21" x14ac:dyDescent="0.35">
      <c r="A510" t="s">
        <v>624</v>
      </c>
      <c r="B510" s="1">
        <v>45120</v>
      </c>
      <c r="C510">
        <v>2023</v>
      </c>
      <c r="D510" t="s">
        <v>62</v>
      </c>
      <c r="E510" t="s">
        <v>63</v>
      </c>
      <c r="F510" t="s">
        <v>64</v>
      </c>
      <c r="G510" t="s">
        <v>65</v>
      </c>
      <c r="H510" t="s">
        <v>78</v>
      </c>
      <c r="I510" t="s">
        <v>79</v>
      </c>
      <c r="J510" t="s">
        <v>28</v>
      </c>
      <c r="K510" t="s">
        <v>60</v>
      </c>
      <c r="L510" t="s">
        <v>49</v>
      </c>
      <c r="M510">
        <v>15</v>
      </c>
      <c r="N510">
        <v>5.99</v>
      </c>
      <c r="O510">
        <v>89.85</v>
      </c>
      <c r="P510">
        <v>0.05</v>
      </c>
      <c r="Q510">
        <v>4.49</v>
      </c>
      <c r="R510">
        <v>85.36</v>
      </c>
      <c r="S510">
        <v>6.83</v>
      </c>
      <c r="T510">
        <v>92.19</v>
      </c>
      <c r="U510" t="s">
        <v>39</v>
      </c>
    </row>
    <row r="511" spans="1:21" x14ac:dyDescent="0.35">
      <c r="A511" t="s">
        <v>625</v>
      </c>
      <c r="B511" s="1">
        <v>45120</v>
      </c>
      <c r="C511">
        <v>2023</v>
      </c>
      <c r="D511" t="s">
        <v>148</v>
      </c>
      <c r="E511" t="s">
        <v>149</v>
      </c>
      <c r="F511" t="s">
        <v>43</v>
      </c>
      <c r="G511" t="s">
        <v>150</v>
      </c>
      <c r="H511" t="s">
        <v>84</v>
      </c>
      <c r="I511" t="s">
        <v>85</v>
      </c>
      <c r="J511" t="s">
        <v>47</v>
      </c>
      <c r="K511" t="s">
        <v>68</v>
      </c>
      <c r="L511" t="s">
        <v>69</v>
      </c>
      <c r="M511">
        <v>13</v>
      </c>
      <c r="N511">
        <v>249.99</v>
      </c>
      <c r="O511">
        <v>3249.87</v>
      </c>
      <c r="P511">
        <v>0.05</v>
      </c>
      <c r="Q511">
        <v>162.49</v>
      </c>
      <c r="R511">
        <v>3087.38</v>
      </c>
      <c r="S511">
        <v>246.99</v>
      </c>
      <c r="T511">
        <v>3334.37</v>
      </c>
      <c r="U511" t="s">
        <v>39</v>
      </c>
    </row>
    <row r="512" spans="1:21" x14ac:dyDescent="0.35">
      <c r="A512" t="s">
        <v>626</v>
      </c>
      <c r="B512" s="1">
        <v>45121</v>
      </c>
      <c r="C512">
        <v>2023</v>
      </c>
      <c r="D512" t="s">
        <v>142</v>
      </c>
      <c r="E512" t="s">
        <v>143</v>
      </c>
      <c r="F512" t="s">
        <v>43</v>
      </c>
      <c r="G512" t="s">
        <v>144</v>
      </c>
      <c r="H512" t="s">
        <v>125</v>
      </c>
      <c r="I512" t="s">
        <v>126</v>
      </c>
      <c r="J512" t="s">
        <v>28</v>
      </c>
      <c r="K512" t="s">
        <v>48</v>
      </c>
      <c r="L512" t="s">
        <v>30</v>
      </c>
      <c r="M512">
        <v>22</v>
      </c>
      <c r="N512">
        <v>79.989999999999995</v>
      </c>
      <c r="O512">
        <v>1759.78</v>
      </c>
      <c r="P512">
        <v>0.08</v>
      </c>
      <c r="Q512">
        <v>140.78</v>
      </c>
      <c r="R512">
        <v>1619</v>
      </c>
      <c r="S512">
        <v>129.52000000000001</v>
      </c>
      <c r="T512">
        <v>1748.52</v>
      </c>
      <c r="U512" t="s">
        <v>39</v>
      </c>
    </row>
    <row r="513" spans="1:21" x14ac:dyDescent="0.35">
      <c r="A513" t="s">
        <v>627</v>
      </c>
      <c r="B513" s="1">
        <v>45124</v>
      </c>
      <c r="C513">
        <v>2023</v>
      </c>
      <c r="D513" t="s">
        <v>33</v>
      </c>
      <c r="E513" t="s">
        <v>34</v>
      </c>
      <c r="F513" t="s">
        <v>35</v>
      </c>
      <c r="G513" t="s">
        <v>36</v>
      </c>
      <c r="H513" t="s">
        <v>54</v>
      </c>
      <c r="I513" t="s">
        <v>55</v>
      </c>
      <c r="J513" t="s">
        <v>56</v>
      </c>
      <c r="K513" t="s">
        <v>48</v>
      </c>
      <c r="L513" t="s">
        <v>30</v>
      </c>
      <c r="M513">
        <v>28</v>
      </c>
      <c r="N513">
        <v>39.99</v>
      </c>
      <c r="O513">
        <v>1119.72</v>
      </c>
      <c r="P513">
        <v>0.08</v>
      </c>
      <c r="Q513">
        <v>89.58</v>
      </c>
      <c r="R513">
        <v>1030.1400000000001</v>
      </c>
      <c r="S513">
        <v>82.41</v>
      </c>
      <c r="T513">
        <v>1112.55</v>
      </c>
      <c r="U513" t="s">
        <v>39</v>
      </c>
    </row>
    <row r="514" spans="1:21" x14ac:dyDescent="0.35">
      <c r="A514" t="s">
        <v>628</v>
      </c>
      <c r="B514" s="1">
        <v>45127</v>
      </c>
      <c r="C514">
        <v>2023</v>
      </c>
      <c r="D514" t="s">
        <v>81</v>
      </c>
      <c r="E514" t="s">
        <v>82</v>
      </c>
      <c r="F514" t="s">
        <v>35</v>
      </c>
      <c r="G514" t="s">
        <v>83</v>
      </c>
      <c r="H514" t="s">
        <v>45</v>
      </c>
      <c r="I514" t="s">
        <v>46</v>
      </c>
      <c r="J514" t="s">
        <v>47</v>
      </c>
      <c r="K514" t="s">
        <v>48</v>
      </c>
      <c r="L514" t="s">
        <v>73</v>
      </c>
      <c r="M514">
        <v>12</v>
      </c>
      <c r="N514">
        <v>89.99</v>
      </c>
      <c r="O514">
        <v>1079.8800000000001</v>
      </c>
      <c r="P514">
        <v>0.05</v>
      </c>
      <c r="Q514">
        <v>53.99</v>
      </c>
      <c r="R514">
        <v>1025.8900000000001</v>
      </c>
      <c r="S514">
        <v>82.07</v>
      </c>
      <c r="T514">
        <v>1107.96</v>
      </c>
      <c r="U514" t="s">
        <v>39</v>
      </c>
    </row>
    <row r="515" spans="1:21" x14ac:dyDescent="0.35">
      <c r="A515" t="s">
        <v>629</v>
      </c>
      <c r="B515" s="1">
        <v>45127</v>
      </c>
      <c r="C515">
        <v>2023</v>
      </c>
      <c r="D515" t="s">
        <v>87</v>
      </c>
      <c r="E515" t="s">
        <v>88</v>
      </c>
      <c r="F515" t="s">
        <v>24</v>
      </c>
      <c r="G515" t="s">
        <v>89</v>
      </c>
      <c r="H515" t="s">
        <v>94</v>
      </c>
      <c r="I515" t="s">
        <v>95</v>
      </c>
      <c r="J515" t="s">
        <v>56</v>
      </c>
      <c r="K515" t="s">
        <v>48</v>
      </c>
      <c r="L515" t="s">
        <v>30</v>
      </c>
      <c r="M515">
        <v>24</v>
      </c>
      <c r="N515">
        <v>349.99</v>
      </c>
      <c r="O515">
        <v>8399.76</v>
      </c>
      <c r="P515">
        <v>0.08</v>
      </c>
      <c r="Q515">
        <v>671.98</v>
      </c>
      <c r="R515">
        <v>7727.78</v>
      </c>
      <c r="S515">
        <v>618.22</v>
      </c>
      <c r="T515">
        <v>8346</v>
      </c>
      <c r="U515" t="s">
        <v>39</v>
      </c>
    </row>
    <row r="516" spans="1:21" x14ac:dyDescent="0.35">
      <c r="A516" t="s">
        <v>630</v>
      </c>
      <c r="B516" s="1">
        <v>45130</v>
      </c>
      <c r="C516">
        <v>2023</v>
      </c>
      <c r="D516" t="s">
        <v>81</v>
      </c>
      <c r="E516" t="s">
        <v>82</v>
      </c>
      <c r="F516" t="s">
        <v>35</v>
      </c>
      <c r="G516" t="s">
        <v>83</v>
      </c>
      <c r="H516" t="s">
        <v>45</v>
      </c>
      <c r="I516" t="s">
        <v>46</v>
      </c>
      <c r="J516" t="s">
        <v>47</v>
      </c>
      <c r="K516" t="s">
        <v>29</v>
      </c>
      <c r="L516" t="s">
        <v>38</v>
      </c>
      <c r="M516">
        <v>6</v>
      </c>
      <c r="N516">
        <v>89.99</v>
      </c>
      <c r="O516">
        <v>539.94000000000005</v>
      </c>
      <c r="P516">
        <v>0.08</v>
      </c>
      <c r="Q516">
        <v>43.2</v>
      </c>
      <c r="R516">
        <v>496.74</v>
      </c>
      <c r="S516">
        <v>39.74</v>
      </c>
      <c r="T516">
        <v>536.48</v>
      </c>
      <c r="U516" t="s">
        <v>39</v>
      </c>
    </row>
    <row r="517" spans="1:21" x14ac:dyDescent="0.35">
      <c r="A517" t="s">
        <v>631</v>
      </c>
      <c r="B517" s="1">
        <v>45134</v>
      </c>
      <c r="C517">
        <v>2023</v>
      </c>
      <c r="D517" t="s">
        <v>97</v>
      </c>
      <c r="E517" t="s">
        <v>98</v>
      </c>
      <c r="F517" t="s">
        <v>35</v>
      </c>
      <c r="G517" t="s">
        <v>99</v>
      </c>
      <c r="H517" t="s">
        <v>104</v>
      </c>
      <c r="I517" t="s">
        <v>105</v>
      </c>
      <c r="J517" t="s">
        <v>47</v>
      </c>
      <c r="K517" t="s">
        <v>37</v>
      </c>
      <c r="L517" t="s">
        <v>38</v>
      </c>
      <c r="M517">
        <v>12</v>
      </c>
      <c r="N517">
        <v>479.99</v>
      </c>
      <c r="O517">
        <v>5759.88</v>
      </c>
      <c r="P517">
        <v>0.13</v>
      </c>
      <c r="Q517">
        <v>748.78</v>
      </c>
      <c r="R517">
        <v>5011.1000000000004</v>
      </c>
      <c r="S517">
        <v>400.89</v>
      </c>
      <c r="T517">
        <v>5411.99</v>
      </c>
      <c r="U517" t="s">
        <v>39</v>
      </c>
    </row>
    <row r="518" spans="1:21" x14ac:dyDescent="0.35">
      <c r="A518" t="s">
        <v>632</v>
      </c>
      <c r="B518" s="1">
        <v>45138</v>
      </c>
      <c r="C518">
        <v>2023</v>
      </c>
      <c r="D518" t="s">
        <v>148</v>
      </c>
      <c r="E518" t="s">
        <v>149</v>
      </c>
      <c r="F518" t="s">
        <v>43</v>
      </c>
      <c r="G518" t="s">
        <v>150</v>
      </c>
      <c r="H518" t="s">
        <v>66</v>
      </c>
      <c r="I518" t="s">
        <v>67</v>
      </c>
      <c r="J518" t="s">
        <v>56</v>
      </c>
      <c r="K518" t="s">
        <v>37</v>
      </c>
      <c r="L518" t="s">
        <v>73</v>
      </c>
      <c r="M518">
        <v>11</v>
      </c>
      <c r="N518">
        <v>229.99</v>
      </c>
      <c r="O518">
        <v>2529.89</v>
      </c>
      <c r="P518">
        <v>0.05</v>
      </c>
      <c r="Q518">
        <v>126.49</v>
      </c>
      <c r="R518">
        <v>2403.4</v>
      </c>
      <c r="S518">
        <v>192.27</v>
      </c>
      <c r="T518">
        <v>2595.67</v>
      </c>
      <c r="U518" t="s">
        <v>39</v>
      </c>
    </row>
    <row r="519" spans="1:21" x14ac:dyDescent="0.35">
      <c r="A519" t="s">
        <v>633</v>
      </c>
      <c r="B519" s="1">
        <v>45140</v>
      </c>
      <c r="C519">
        <v>2023</v>
      </c>
      <c r="D519" t="s">
        <v>62</v>
      </c>
      <c r="E519" t="s">
        <v>63</v>
      </c>
      <c r="F519" t="s">
        <v>64</v>
      </c>
      <c r="G519" t="s">
        <v>65</v>
      </c>
      <c r="H519" t="s">
        <v>26</v>
      </c>
      <c r="I519" t="s">
        <v>27</v>
      </c>
      <c r="J519" t="s">
        <v>28</v>
      </c>
      <c r="K519" t="s">
        <v>60</v>
      </c>
      <c r="L519" t="s">
        <v>30</v>
      </c>
      <c r="M519">
        <v>23</v>
      </c>
      <c r="N519">
        <v>8.99</v>
      </c>
      <c r="O519">
        <v>206.77</v>
      </c>
      <c r="P519">
        <v>0.08</v>
      </c>
      <c r="Q519">
        <v>16.54</v>
      </c>
      <c r="R519">
        <v>190.23</v>
      </c>
      <c r="S519">
        <v>15.22</v>
      </c>
      <c r="T519">
        <v>205.45</v>
      </c>
      <c r="U519" t="s">
        <v>39</v>
      </c>
    </row>
    <row r="520" spans="1:21" x14ac:dyDescent="0.35">
      <c r="A520" t="s">
        <v>634</v>
      </c>
      <c r="B520" s="1">
        <v>45143</v>
      </c>
      <c r="C520">
        <v>2023</v>
      </c>
      <c r="D520" t="s">
        <v>51</v>
      </c>
      <c r="E520" t="s">
        <v>52</v>
      </c>
      <c r="F520" t="s">
        <v>24</v>
      </c>
      <c r="G520" t="s">
        <v>53</v>
      </c>
      <c r="H520" t="s">
        <v>84</v>
      </c>
      <c r="I520" t="s">
        <v>85</v>
      </c>
      <c r="J520" t="s">
        <v>47</v>
      </c>
      <c r="K520" t="s">
        <v>29</v>
      </c>
      <c r="L520" t="s">
        <v>49</v>
      </c>
      <c r="M520">
        <v>5</v>
      </c>
      <c r="N520">
        <v>249.99</v>
      </c>
      <c r="O520">
        <v>1249.95</v>
      </c>
      <c r="P520">
        <v>0</v>
      </c>
      <c r="Q520">
        <v>0</v>
      </c>
      <c r="R520">
        <v>1249.95</v>
      </c>
      <c r="S520">
        <v>100</v>
      </c>
      <c r="T520">
        <v>1349.95</v>
      </c>
      <c r="U520" t="s">
        <v>111</v>
      </c>
    </row>
    <row r="521" spans="1:21" x14ac:dyDescent="0.35">
      <c r="A521" t="s">
        <v>635</v>
      </c>
      <c r="B521" s="1">
        <v>45146</v>
      </c>
      <c r="C521">
        <v>2023</v>
      </c>
      <c r="D521" t="s">
        <v>148</v>
      </c>
      <c r="E521" t="s">
        <v>149</v>
      </c>
      <c r="F521" t="s">
        <v>43</v>
      </c>
      <c r="G521" t="s">
        <v>150</v>
      </c>
      <c r="H521" t="s">
        <v>26</v>
      </c>
      <c r="I521" t="s">
        <v>27</v>
      </c>
      <c r="J521" t="s">
        <v>28</v>
      </c>
      <c r="K521" t="s">
        <v>68</v>
      </c>
      <c r="L521" t="s">
        <v>30</v>
      </c>
      <c r="M521">
        <v>7</v>
      </c>
      <c r="N521">
        <v>8.99</v>
      </c>
      <c r="O521">
        <v>62.93</v>
      </c>
      <c r="P521">
        <v>0</v>
      </c>
      <c r="Q521">
        <v>0</v>
      </c>
      <c r="R521">
        <v>62.93</v>
      </c>
      <c r="S521">
        <v>5.03</v>
      </c>
      <c r="T521">
        <v>67.959999999999994</v>
      </c>
      <c r="U521" t="s">
        <v>39</v>
      </c>
    </row>
    <row r="522" spans="1:21" x14ac:dyDescent="0.35">
      <c r="A522" t="s">
        <v>636</v>
      </c>
      <c r="B522" s="1">
        <v>45146</v>
      </c>
      <c r="C522">
        <v>2023</v>
      </c>
      <c r="D522" t="s">
        <v>33</v>
      </c>
      <c r="E522" t="s">
        <v>34</v>
      </c>
      <c r="F522" t="s">
        <v>35</v>
      </c>
      <c r="G522" t="s">
        <v>36</v>
      </c>
      <c r="H522" t="s">
        <v>71</v>
      </c>
      <c r="I522" t="s">
        <v>72</v>
      </c>
      <c r="J522" t="s">
        <v>47</v>
      </c>
      <c r="K522" t="s">
        <v>29</v>
      </c>
      <c r="L522" t="s">
        <v>38</v>
      </c>
      <c r="M522">
        <v>1</v>
      </c>
      <c r="N522">
        <v>1199.99</v>
      </c>
      <c r="O522">
        <v>1199.99</v>
      </c>
      <c r="P522">
        <v>0.08</v>
      </c>
      <c r="Q522">
        <v>96</v>
      </c>
      <c r="R522">
        <v>1103.99</v>
      </c>
      <c r="S522">
        <v>88.32</v>
      </c>
      <c r="T522">
        <v>1192.31</v>
      </c>
      <c r="U522" t="s">
        <v>39</v>
      </c>
    </row>
    <row r="523" spans="1:21" x14ac:dyDescent="0.35">
      <c r="A523" t="s">
        <v>637</v>
      </c>
      <c r="B523" s="1">
        <v>45146</v>
      </c>
      <c r="C523">
        <v>2023</v>
      </c>
      <c r="D523" t="s">
        <v>107</v>
      </c>
      <c r="E523" t="s">
        <v>108</v>
      </c>
      <c r="F523" t="s">
        <v>35</v>
      </c>
      <c r="G523" t="s">
        <v>109</v>
      </c>
      <c r="H523" t="s">
        <v>78</v>
      </c>
      <c r="I523" t="s">
        <v>79</v>
      </c>
      <c r="J523" t="s">
        <v>28</v>
      </c>
      <c r="K523" t="s">
        <v>68</v>
      </c>
      <c r="L523" t="s">
        <v>69</v>
      </c>
      <c r="M523">
        <v>26</v>
      </c>
      <c r="N523">
        <v>5.99</v>
      </c>
      <c r="O523">
        <v>155.74</v>
      </c>
      <c r="P523">
        <v>0.08</v>
      </c>
      <c r="Q523">
        <v>12.46</v>
      </c>
      <c r="R523">
        <v>143.28</v>
      </c>
      <c r="S523">
        <v>11.46</v>
      </c>
      <c r="T523">
        <v>154.74</v>
      </c>
      <c r="U523" t="s">
        <v>39</v>
      </c>
    </row>
    <row r="524" spans="1:21" x14ac:dyDescent="0.35">
      <c r="A524" t="s">
        <v>638</v>
      </c>
      <c r="B524" s="1">
        <v>45153</v>
      </c>
      <c r="C524">
        <v>2023</v>
      </c>
      <c r="D524" t="s">
        <v>81</v>
      </c>
      <c r="E524" t="s">
        <v>82</v>
      </c>
      <c r="F524" t="s">
        <v>35</v>
      </c>
      <c r="G524" t="s">
        <v>83</v>
      </c>
      <c r="H524" t="s">
        <v>84</v>
      </c>
      <c r="I524" t="s">
        <v>85</v>
      </c>
      <c r="J524" t="s">
        <v>47</v>
      </c>
      <c r="K524" t="s">
        <v>29</v>
      </c>
      <c r="L524" t="s">
        <v>38</v>
      </c>
      <c r="M524">
        <v>22</v>
      </c>
      <c r="N524">
        <v>249.99</v>
      </c>
      <c r="O524">
        <v>5499.78</v>
      </c>
      <c r="P524">
        <v>0.16</v>
      </c>
      <c r="Q524">
        <v>879.96</v>
      </c>
      <c r="R524">
        <v>4619.82</v>
      </c>
      <c r="S524">
        <v>369.59</v>
      </c>
      <c r="T524">
        <v>0</v>
      </c>
      <c r="U524" t="s">
        <v>31</v>
      </c>
    </row>
    <row r="525" spans="1:21" x14ac:dyDescent="0.35">
      <c r="A525" t="s">
        <v>639</v>
      </c>
      <c r="B525" s="1">
        <v>45154</v>
      </c>
      <c r="C525">
        <v>2023</v>
      </c>
      <c r="D525" t="s">
        <v>41</v>
      </c>
      <c r="E525" t="s">
        <v>42</v>
      </c>
      <c r="F525" t="s">
        <v>43</v>
      </c>
      <c r="G525" t="s">
        <v>44</v>
      </c>
      <c r="H525" t="s">
        <v>84</v>
      </c>
      <c r="I525" t="s">
        <v>85</v>
      </c>
      <c r="J525" t="s">
        <v>47</v>
      </c>
      <c r="K525" t="s">
        <v>60</v>
      </c>
      <c r="L525" t="s">
        <v>38</v>
      </c>
      <c r="M525">
        <v>23</v>
      </c>
      <c r="N525">
        <v>249.99</v>
      </c>
      <c r="O525">
        <v>5749.77</v>
      </c>
      <c r="P525">
        <v>0.16</v>
      </c>
      <c r="Q525">
        <v>919.96</v>
      </c>
      <c r="R525">
        <v>4829.8100000000004</v>
      </c>
      <c r="S525">
        <v>386.38</v>
      </c>
      <c r="T525">
        <v>5216.1899999999996</v>
      </c>
      <c r="U525" t="s">
        <v>39</v>
      </c>
    </row>
    <row r="526" spans="1:21" x14ac:dyDescent="0.35">
      <c r="A526" t="s">
        <v>640</v>
      </c>
      <c r="B526" s="1">
        <v>45155</v>
      </c>
      <c r="C526">
        <v>2023</v>
      </c>
      <c r="D526" t="s">
        <v>142</v>
      </c>
      <c r="E526" t="s">
        <v>143</v>
      </c>
      <c r="F526" t="s">
        <v>43</v>
      </c>
      <c r="G526" t="s">
        <v>144</v>
      </c>
      <c r="H526" t="s">
        <v>104</v>
      </c>
      <c r="I526" t="s">
        <v>105</v>
      </c>
      <c r="J526" t="s">
        <v>47</v>
      </c>
      <c r="K526" t="s">
        <v>29</v>
      </c>
      <c r="L526" t="s">
        <v>30</v>
      </c>
      <c r="M526">
        <v>17</v>
      </c>
      <c r="N526">
        <v>479.99</v>
      </c>
      <c r="O526">
        <v>8159.83</v>
      </c>
      <c r="P526">
        <v>0.05</v>
      </c>
      <c r="Q526">
        <v>407.99</v>
      </c>
      <c r="R526">
        <v>7751.84</v>
      </c>
      <c r="S526">
        <v>620.15</v>
      </c>
      <c r="T526">
        <v>8371.99</v>
      </c>
      <c r="U526" t="s">
        <v>39</v>
      </c>
    </row>
    <row r="527" spans="1:21" x14ac:dyDescent="0.35">
      <c r="A527" t="s">
        <v>641</v>
      </c>
      <c r="B527" s="1">
        <v>45157</v>
      </c>
      <c r="C527">
        <v>2023</v>
      </c>
      <c r="D527" t="s">
        <v>122</v>
      </c>
      <c r="E527" t="s">
        <v>123</v>
      </c>
      <c r="F527" t="s">
        <v>64</v>
      </c>
      <c r="G527" t="s">
        <v>124</v>
      </c>
      <c r="H527" t="s">
        <v>45</v>
      </c>
      <c r="I527" t="s">
        <v>46</v>
      </c>
      <c r="J527" t="s">
        <v>47</v>
      </c>
      <c r="K527" t="s">
        <v>37</v>
      </c>
      <c r="L527" t="s">
        <v>69</v>
      </c>
      <c r="M527">
        <v>9</v>
      </c>
      <c r="N527">
        <v>89.99</v>
      </c>
      <c r="O527">
        <v>809.91</v>
      </c>
      <c r="P527">
        <v>0</v>
      </c>
      <c r="Q527">
        <v>0</v>
      </c>
      <c r="R527">
        <v>809.91</v>
      </c>
      <c r="S527">
        <v>64.790000000000006</v>
      </c>
      <c r="T527">
        <v>874.7</v>
      </c>
      <c r="U527" t="s">
        <v>111</v>
      </c>
    </row>
    <row r="528" spans="1:21" x14ac:dyDescent="0.35">
      <c r="A528" t="s">
        <v>642</v>
      </c>
      <c r="B528" s="1">
        <v>45158</v>
      </c>
      <c r="C528">
        <v>2023</v>
      </c>
      <c r="D528" t="s">
        <v>41</v>
      </c>
      <c r="E528" t="s">
        <v>42</v>
      </c>
      <c r="F528" t="s">
        <v>43</v>
      </c>
      <c r="G528" t="s">
        <v>44</v>
      </c>
      <c r="H528" t="s">
        <v>26</v>
      </c>
      <c r="I528" t="s">
        <v>27</v>
      </c>
      <c r="J528" t="s">
        <v>28</v>
      </c>
      <c r="K528" t="s">
        <v>68</v>
      </c>
      <c r="L528" t="s">
        <v>38</v>
      </c>
      <c r="M528">
        <v>23</v>
      </c>
      <c r="N528">
        <v>8.99</v>
      </c>
      <c r="O528">
        <v>206.77</v>
      </c>
      <c r="P528">
        <v>0.16</v>
      </c>
      <c r="Q528">
        <v>33.08</v>
      </c>
      <c r="R528">
        <v>173.69</v>
      </c>
      <c r="S528">
        <v>13.9</v>
      </c>
      <c r="T528">
        <v>187.59</v>
      </c>
      <c r="U528" t="s">
        <v>111</v>
      </c>
    </row>
    <row r="529" spans="1:21" x14ac:dyDescent="0.35">
      <c r="A529" t="s">
        <v>643</v>
      </c>
      <c r="B529" s="1">
        <v>45160</v>
      </c>
      <c r="C529">
        <v>2023</v>
      </c>
      <c r="D529" t="s">
        <v>33</v>
      </c>
      <c r="E529" t="s">
        <v>34</v>
      </c>
      <c r="F529" t="s">
        <v>35</v>
      </c>
      <c r="G529" t="s">
        <v>36</v>
      </c>
      <c r="H529" t="s">
        <v>94</v>
      </c>
      <c r="I529" t="s">
        <v>95</v>
      </c>
      <c r="J529" t="s">
        <v>56</v>
      </c>
      <c r="K529" t="s">
        <v>29</v>
      </c>
      <c r="L529" t="s">
        <v>69</v>
      </c>
      <c r="M529">
        <v>17</v>
      </c>
      <c r="N529">
        <v>349.99</v>
      </c>
      <c r="O529">
        <v>5949.83</v>
      </c>
      <c r="P529">
        <v>0.05</v>
      </c>
      <c r="Q529">
        <v>297.49</v>
      </c>
      <c r="R529">
        <v>5652.34</v>
      </c>
      <c r="S529">
        <v>452.19</v>
      </c>
      <c r="T529">
        <v>6104.53</v>
      </c>
      <c r="U529" t="s">
        <v>39</v>
      </c>
    </row>
    <row r="530" spans="1:21" x14ac:dyDescent="0.35">
      <c r="A530" t="s">
        <v>644</v>
      </c>
      <c r="B530" s="1">
        <v>45162</v>
      </c>
      <c r="C530">
        <v>2023</v>
      </c>
      <c r="D530" t="s">
        <v>97</v>
      </c>
      <c r="E530" t="s">
        <v>98</v>
      </c>
      <c r="F530" t="s">
        <v>35</v>
      </c>
      <c r="G530" t="s">
        <v>99</v>
      </c>
      <c r="H530" t="s">
        <v>66</v>
      </c>
      <c r="I530" t="s">
        <v>67</v>
      </c>
      <c r="J530" t="s">
        <v>56</v>
      </c>
      <c r="K530" t="s">
        <v>68</v>
      </c>
      <c r="L530" t="s">
        <v>69</v>
      </c>
      <c r="M530">
        <v>21</v>
      </c>
      <c r="N530">
        <v>229.99</v>
      </c>
      <c r="O530">
        <v>4829.79</v>
      </c>
      <c r="P530">
        <v>0.08</v>
      </c>
      <c r="Q530">
        <v>386.38</v>
      </c>
      <c r="R530">
        <v>4443.41</v>
      </c>
      <c r="S530">
        <v>355.47</v>
      </c>
      <c r="T530">
        <v>4798.88</v>
      </c>
      <c r="U530" t="s">
        <v>39</v>
      </c>
    </row>
    <row r="531" spans="1:21" x14ac:dyDescent="0.35">
      <c r="A531" t="s">
        <v>645</v>
      </c>
      <c r="B531" s="1">
        <v>45163</v>
      </c>
      <c r="C531">
        <v>2023</v>
      </c>
      <c r="D531" t="s">
        <v>87</v>
      </c>
      <c r="E531" t="s">
        <v>88</v>
      </c>
      <c r="F531" t="s">
        <v>24</v>
      </c>
      <c r="G531" t="s">
        <v>89</v>
      </c>
      <c r="H531" t="s">
        <v>208</v>
      </c>
      <c r="I531" t="s">
        <v>209</v>
      </c>
      <c r="J531" t="s">
        <v>47</v>
      </c>
      <c r="K531" t="s">
        <v>29</v>
      </c>
      <c r="L531" t="s">
        <v>49</v>
      </c>
      <c r="M531">
        <v>14</v>
      </c>
      <c r="N531">
        <v>49.99</v>
      </c>
      <c r="O531">
        <v>699.86</v>
      </c>
      <c r="P531">
        <v>0.05</v>
      </c>
      <c r="Q531">
        <v>34.99</v>
      </c>
      <c r="R531">
        <v>664.87</v>
      </c>
      <c r="S531">
        <v>53.19</v>
      </c>
      <c r="T531">
        <v>0</v>
      </c>
      <c r="U531" t="s">
        <v>31</v>
      </c>
    </row>
    <row r="532" spans="1:21" x14ac:dyDescent="0.35">
      <c r="A532" t="s">
        <v>646</v>
      </c>
      <c r="B532" s="1">
        <v>45164</v>
      </c>
      <c r="C532">
        <v>2023</v>
      </c>
      <c r="D532" t="s">
        <v>142</v>
      </c>
      <c r="E532" t="s">
        <v>143</v>
      </c>
      <c r="F532" t="s">
        <v>43</v>
      </c>
      <c r="G532" t="s">
        <v>144</v>
      </c>
      <c r="H532" t="s">
        <v>128</v>
      </c>
      <c r="I532" t="s">
        <v>129</v>
      </c>
      <c r="J532" t="s">
        <v>47</v>
      </c>
      <c r="K532" t="s">
        <v>29</v>
      </c>
      <c r="L532" t="s">
        <v>49</v>
      </c>
      <c r="M532">
        <v>5</v>
      </c>
      <c r="N532">
        <v>399.99</v>
      </c>
      <c r="O532">
        <v>1999.95</v>
      </c>
      <c r="P532">
        <v>0</v>
      </c>
      <c r="Q532">
        <v>0</v>
      </c>
      <c r="R532">
        <v>1999.95</v>
      </c>
      <c r="S532">
        <v>160</v>
      </c>
      <c r="T532">
        <v>2159.9499999999998</v>
      </c>
      <c r="U532" t="s">
        <v>111</v>
      </c>
    </row>
    <row r="533" spans="1:21" x14ac:dyDescent="0.35">
      <c r="A533" t="s">
        <v>647</v>
      </c>
      <c r="B533" s="1">
        <v>45167</v>
      </c>
      <c r="C533">
        <v>2023</v>
      </c>
      <c r="D533" t="s">
        <v>107</v>
      </c>
      <c r="E533" t="s">
        <v>108</v>
      </c>
      <c r="F533" t="s">
        <v>35</v>
      </c>
      <c r="G533" t="s">
        <v>109</v>
      </c>
      <c r="H533" t="s">
        <v>54</v>
      </c>
      <c r="I533" t="s">
        <v>55</v>
      </c>
      <c r="J533" t="s">
        <v>56</v>
      </c>
      <c r="K533" t="s">
        <v>60</v>
      </c>
      <c r="L533" t="s">
        <v>38</v>
      </c>
      <c r="M533">
        <v>26</v>
      </c>
      <c r="N533">
        <v>39.99</v>
      </c>
      <c r="O533">
        <v>1039.74</v>
      </c>
      <c r="P533">
        <v>0.16</v>
      </c>
      <c r="Q533">
        <v>166.36</v>
      </c>
      <c r="R533">
        <v>873.38</v>
      </c>
      <c r="S533">
        <v>69.87</v>
      </c>
      <c r="T533">
        <v>943.25</v>
      </c>
      <c r="U533" t="s">
        <v>39</v>
      </c>
    </row>
    <row r="534" spans="1:21" x14ac:dyDescent="0.35">
      <c r="A534" t="s">
        <v>648</v>
      </c>
      <c r="B534" s="1">
        <v>45168</v>
      </c>
      <c r="C534">
        <v>2023</v>
      </c>
      <c r="D534" t="s">
        <v>33</v>
      </c>
      <c r="E534" t="s">
        <v>34</v>
      </c>
      <c r="F534" t="s">
        <v>35</v>
      </c>
      <c r="G534" t="s">
        <v>36</v>
      </c>
      <c r="H534" t="s">
        <v>78</v>
      </c>
      <c r="I534" t="s">
        <v>79</v>
      </c>
      <c r="J534" t="s">
        <v>28</v>
      </c>
      <c r="K534" t="s">
        <v>48</v>
      </c>
      <c r="L534" t="s">
        <v>69</v>
      </c>
      <c r="M534">
        <v>30</v>
      </c>
      <c r="N534">
        <v>5.99</v>
      </c>
      <c r="O534">
        <v>179.7</v>
      </c>
      <c r="P534">
        <v>0.08</v>
      </c>
      <c r="Q534">
        <v>14.38</v>
      </c>
      <c r="R534">
        <v>165.32</v>
      </c>
      <c r="S534">
        <v>13.23</v>
      </c>
      <c r="T534">
        <v>178.55</v>
      </c>
      <c r="U534" t="s">
        <v>39</v>
      </c>
    </row>
    <row r="535" spans="1:21" x14ac:dyDescent="0.35">
      <c r="A535" t="s">
        <v>649</v>
      </c>
      <c r="B535" s="1">
        <v>45174</v>
      </c>
      <c r="C535">
        <v>2023</v>
      </c>
      <c r="D535" t="s">
        <v>75</v>
      </c>
      <c r="E535" t="s">
        <v>76</v>
      </c>
      <c r="F535" t="s">
        <v>64</v>
      </c>
      <c r="G535" t="s">
        <v>77</v>
      </c>
      <c r="H535" t="s">
        <v>100</v>
      </c>
      <c r="I535" t="s">
        <v>101</v>
      </c>
      <c r="J535" t="s">
        <v>47</v>
      </c>
      <c r="K535" t="s">
        <v>60</v>
      </c>
      <c r="L535" t="s">
        <v>49</v>
      </c>
      <c r="M535">
        <v>10</v>
      </c>
      <c r="N535">
        <v>29.99</v>
      </c>
      <c r="O535">
        <v>299.89999999999998</v>
      </c>
      <c r="P535">
        <v>0.05</v>
      </c>
      <c r="Q535">
        <v>14.99</v>
      </c>
      <c r="R535">
        <v>284.91000000000003</v>
      </c>
      <c r="S535">
        <v>22.79</v>
      </c>
      <c r="T535">
        <v>307.7</v>
      </c>
      <c r="U535" t="s">
        <v>39</v>
      </c>
    </row>
    <row r="536" spans="1:21" x14ac:dyDescent="0.35">
      <c r="A536" t="s">
        <v>650</v>
      </c>
      <c r="B536" s="1">
        <v>45174</v>
      </c>
      <c r="C536">
        <v>2023</v>
      </c>
      <c r="D536" t="s">
        <v>51</v>
      </c>
      <c r="E536" t="s">
        <v>52</v>
      </c>
      <c r="F536" t="s">
        <v>24</v>
      </c>
      <c r="G536" t="s">
        <v>53</v>
      </c>
      <c r="H536" t="s">
        <v>26</v>
      </c>
      <c r="I536" t="s">
        <v>27</v>
      </c>
      <c r="J536" t="s">
        <v>28</v>
      </c>
      <c r="K536" t="s">
        <v>37</v>
      </c>
      <c r="L536" t="s">
        <v>38</v>
      </c>
      <c r="M536">
        <v>17</v>
      </c>
      <c r="N536">
        <v>8.99</v>
      </c>
      <c r="O536">
        <v>152.83000000000001</v>
      </c>
      <c r="P536">
        <v>0.13</v>
      </c>
      <c r="Q536">
        <v>19.87</v>
      </c>
      <c r="R536">
        <v>132.96</v>
      </c>
      <c r="S536">
        <v>10.64</v>
      </c>
      <c r="T536">
        <v>143.6</v>
      </c>
      <c r="U536" t="s">
        <v>39</v>
      </c>
    </row>
    <row r="537" spans="1:21" x14ac:dyDescent="0.35">
      <c r="A537" t="s">
        <v>651</v>
      </c>
      <c r="B537" s="1">
        <v>45175</v>
      </c>
      <c r="C537">
        <v>2023</v>
      </c>
      <c r="D537" t="s">
        <v>87</v>
      </c>
      <c r="E537" t="s">
        <v>88</v>
      </c>
      <c r="F537" t="s">
        <v>24</v>
      </c>
      <c r="G537" t="s">
        <v>89</v>
      </c>
      <c r="H537" t="s">
        <v>26</v>
      </c>
      <c r="I537" t="s">
        <v>27</v>
      </c>
      <c r="J537" t="s">
        <v>28</v>
      </c>
      <c r="K537" t="s">
        <v>48</v>
      </c>
      <c r="L537" t="s">
        <v>73</v>
      </c>
      <c r="M537">
        <v>28</v>
      </c>
      <c r="N537">
        <v>8.99</v>
      </c>
      <c r="O537">
        <v>251.72</v>
      </c>
      <c r="P537">
        <v>0.08</v>
      </c>
      <c r="Q537">
        <v>20.14</v>
      </c>
      <c r="R537">
        <v>231.58</v>
      </c>
      <c r="S537">
        <v>18.53</v>
      </c>
      <c r="T537">
        <v>0</v>
      </c>
      <c r="U537" t="s">
        <v>31</v>
      </c>
    </row>
    <row r="538" spans="1:21" x14ac:dyDescent="0.35">
      <c r="A538" t="s">
        <v>652</v>
      </c>
      <c r="B538" s="1">
        <v>45176</v>
      </c>
      <c r="C538">
        <v>2023</v>
      </c>
      <c r="D538" t="s">
        <v>91</v>
      </c>
      <c r="E538" t="s">
        <v>92</v>
      </c>
      <c r="F538" t="s">
        <v>24</v>
      </c>
      <c r="G538" t="s">
        <v>93</v>
      </c>
      <c r="H538" t="s">
        <v>26</v>
      </c>
      <c r="I538" t="s">
        <v>27</v>
      </c>
      <c r="J538" t="s">
        <v>28</v>
      </c>
      <c r="K538" t="s">
        <v>48</v>
      </c>
      <c r="L538" t="s">
        <v>30</v>
      </c>
      <c r="M538">
        <v>22</v>
      </c>
      <c r="N538">
        <v>8.99</v>
      </c>
      <c r="O538">
        <v>197.78</v>
      </c>
      <c r="P538">
        <v>0.08</v>
      </c>
      <c r="Q538">
        <v>15.82</v>
      </c>
      <c r="R538">
        <v>181.96</v>
      </c>
      <c r="S538">
        <v>14.56</v>
      </c>
      <c r="T538">
        <v>196.52</v>
      </c>
      <c r="U538" t="s">
        <v>39</v>
      </c>
    </row>
    <row r="539" spans="1:21" x14ac:dyDescent="0.35">
      <c r="A539" t="s">
        <v>653</v>
      </c>
      <c r="B539" s="1">
        <v>45182</v>
      </c>
      <c r="C539">
        <v>2023</v>
      </c>
      <c r="D539" t="s">
        <v>41</v>
      </c>
      <c r="E539" t="s">
        <v>42</v>
      </c>
      <c r="F539" t="s">
        <v>43</v>
      </c>
      <c r="G539" t="s">
        <v>44</v>
      </c>
      <c r="H539" t="s">
        <v>100</v>
      </c>
      <c r="I539" t="s">
        <v>101</v>
      </c>
      <c r="J539" t="s">
        <v>47</v>
      </c>
      <c r="K539" t="s">
        <v>60</v>
      </c>
      <c r="L539" t="s">
        <v>30</v>
      </c>
      <c r="M539">
        <v>2</v>
      </c>
      <c r="N539">
        <v>29.99</v>
      </c>
      <c r="O539">
        <v>59.98</v>
      </c>
      <c r="P539">
        <v>0</v>
      </c>
      <c r="Q539">
        <v>0</v>
      </c>
      <c r="R539">
        <v>59.98</v>
      </c>
      <c r="S539">
        <v>4.8</v>
      </c>
      <c r="T539">
        <v>64.78</v>
      </c>
      <c r="U539" t="s">
        <v>39</v>
      </c>
    </row>
    <row r="540" spans="1:21" x14ac:dyDescent="0.35">
      <c r="A540" t="s">
        <v>654</v>
      </c>
      <c r="B540" s="1">
        <v>45184</v>
      </c>
      <c r="C540">
        <v>2023</v>
      </c>
      <c r="D540" t="s">
        <v>81</v>
      </c>
      <c r="E540" t="s">
        <v>82</v>
      </c>
      <c r="F540" t="s">
        <v>35</v>
      </c>
      <c r="G540" t="s">
        <v>83</v>
      </c>
      <c r="H540" t="s">
        <v>54</v>
      </c>
      <c r="I540" t="s">
        <v>55</v>
      </c>
      <c r="J540" t="s">
        <v>56</v>
      </c>
      <c r="K540" t="s">
        <v>37</v>
      </c>
      <c r="L540" t="s">
        <v>30</v>
      </c>
      <c r="M540">
        <v>1</v>
      </c>
      <c r="N540">
        <v>39.99</v>
      </c>
      <c r="O540">
        <v>39.99</v>
      </c>
      <c r="P540">
        <v>0</v>
      </c>
      <c r="Q540">
        <v>0</v>
      </c>
      <c r="R540">
        <v>39.99</v>
      </c>
      <c r="S540">
        <v>3.2</v>
      </c>
      <c r="T540">
        <v>43.19</v>
      </c>
      <c r="U540" t="s">
        <v>39</v>
      </c>
    </row>
    <row r="541" spans="1:21" x14ac:dyDescent="0.35">
      <c r="A541" t="s">
        <v>655</v>
      </c>
      <c r="B541" s="1">
        <v>45184</v>
      </c>
      <c r="C541">
        <v>2023</v>
      </c>
      <c r="D541" t="s">
        <v>148</v>
      </c>
      <c r="E541" t="s">
        <v>149</v>
      </c>
      <c r="F541" t="s">
        <v>43</v>
      </c>
      <c r="G541" t="s">
        <v>150</v>
      </c>
      <c r="H541" t="s">
        <v>58</v>
      </c>
      <c r="I541" t="s">
        <v>59</v>
      </c>
      <c r="J541" t="s">
        <v>56</v>
      </c>
      <c r="K541" t="s">
        <v>68</v>
      </c>
      <c r="L541" t="s">
        <v>30</v>
      </c>
      <c r="M541">
        <v>4</v>
      </c>
      <c r="N541">
        <v>599.99</v>
      </c>
      <c r="O541">
        <v>2399.96</v>
      </c>
      <c r="P541">
        <v>0</v>
      </c>
      <c r="Q541">
        <v>0</v>
      </c>
      <c r="R541">
        <v>2399.96</v>
      </c>
      <c r="S541">
        <v>192</v>
      </c>
      <c r="T541">
        <v>2591.96</v>
      </c>
      <c r="U541" t="s">
        <v>39</v>
      </c>
    </row>
    <row r="542" spans="1:21" x14ac:dyDescent="0.35">
      <c r="A542" t="s">
        <v>656</v>
      </c>
      <c r="B542" s="1">
        <v>45185</v>
      </c>
      <c r="C542">
        <v>2023</v>
      </c>
      <c r="D542" t="s">
        <v>41</v>
      </c>
      <c r="E542" t="s">
        <v>42</v>
      </c>
      <c r="F542" t="s">
        <v>43</v>
      </c>
      <c r="G542" t="s">
        <v>44</v>
      </c>
      <c r="H542" t="s">
        <v>71</v>
      </c>
      <c r="I542" t="s">
        <v>72</v>
      </c>
      <c r="J542" t="s">
        <v>47</v>
      </c>
      <c r="K542" t="s">
        <v>29</v>
      </c>
      <c r="L542" t="s">
        <v>73</v>
      </c>
      <c r="M542">
        <v>18</v>
      </c>
      <c r="N542">
        <v>1199.99</v>
      </c>
      <c r="O542">
        <v>21599.82</v>
      </c>
      <c r="P542">
        <v>0.05</v>
      </c>
      <c r="Q542">
        <v>1079.99</v>
      </c>
      <c r="R542">
        <v>20519.830000000002</v>
      </c>
      <c r="S542">
        <v>1641.59</v>
      </c>
      <c r="T542">
        <v>22161.42</v>
      </c>
      <c r="U542" t="s">
        <v>39</v>
      </c>
    </row>
    <row r="543" spans="1:21" x14ac:dyDescent="0.35">
      <c r="A543" t="s">
        <v>657</v>
      </c>
      <c r="B543" s="1">
        <v>45191</v>
      </c>
      <c r="C543">
        <v>2023</v>
      </c>
      <c r="D543" t="s">
        <v>97</v>
      </c>
      <c r="E543" t="s">
        <v>98</v>
      </c>
      <c r="F543" t="s">
        <v>35</v>
      </c>
      <c r="G543" t="s">
        <v>99</v>
      </c>
      <c r="H543" t="s">
        <v>104</v>
      </c>
      <c r="I543" t="s">
        <v>105</v>
      </c>
      <c r="J543" t="s">
        <v>47</v>
      </c>
      <c r="K543" t="s">
        <v>68</v>
      </c>
      <c r="L543" t="s">
        <v>73</v>
      </c>
      <c r="M543">
        <v>8</v>
      </c>
      <c r="N543">
        <v>479.99</v>
      </c>
      <c r="O543">
        <v>3839.92</v>
      </c>
      <c r="P543">
        <v>0</v>
      </c>
      <c r="Q543">
        <v>0</v>
      </c>
      <c r="R543">
        <v>3839.92</v>
      </c>
      <c r="S543">
        <v>307.19</v>
      </c>
      <c r="T543">
        <v>4147.1099999999997</v>
      </c>
      <c r="U543" t="s">
        <v>111</v>
      </c>
    </row>
    <row r="544" spans="1:21" x14ac:dyDescent="0.35">
      <c r="A544" t="s">
        <v>658</v>
      </c>
      <c r="B544" s="1">
        <v>45191</v>
      </c>
      <c r="C544">
        <v>2023</v>
      </c>
      <c r="D544" t="s">
        <v>107</v>
      </c>
      <c r="E544" t="s">
        <v>108</v>
      </c>
      <c r="F544" t="s">
        <v>35</v>
      </c>
      <c r="G544" t="s">
        <v>109</v>
      </c>
      <c r="H544" t="s">
        <v>84</v>
      </c>
      <c r="I544" t="s">
        <v>85</v>
      </c>
      <c r="J544" t="s">
        <v>47</v>
      </c>
      <c r="K544" t="s">
        <v>68</v>
      </c>
      <c r="L544" t="s">
        <v>73</v>
      </c>
      <c r="M544">
        <v>26</v>
      </c>
      <c r="N544">
        <v>249.99</v>
      </c>
      <c r="O544">
        <v>6499.74</v>
      </c>
      <c r="P544">
        <v>0.08</v>
      </c>
      <c r="Q544">
        <v>519.98</v>
      </c>
      <c r="R544">
        <v>5979.76</v>
      </c>
      <c r="S544">
        <v>478.38</v>
      </c>
      <c r="T544">
        <v>6458.14</v>
      </c>
      <c r="U544" t="s">
        <v>39</v>
      </c>
    </row>
    <row r="545" spans="1:21" x14ac:dyDescent="0.35">
      <c r="A545" t="s">
        <v>659</v>
      </c>
      <c r="B545" s="1">
        <v>45193</v>
      </c>
      <c r="C545">
        <v>2023</v>
      </c>
      <c r="D545" t="s">
        <v>97</v>
      </c>
      <c r="E545" t="s">
        <v>98</v>
      </c>
      <c r="F545" t="s">
        <v>35</v>
      </c>
      <c r="G545" t="s">
        <v>99</v>
      </c>
      <c r="H545" t="s">
        <v>104</v>
      </c>
      <c r="I545" t="s">
        <v>105</v>
      </c>
      <c r="J545" t="s">
        <v>47</v>
      </c>
      <c r="K545" t="s">
        <v>29</v>
      </c>
      <c r="L545" t="s">
        <v>49</v>
      </c>
      <c r="M545">
        <v>22</v>
      </c>
      <c r="N545">
        <v>479.99</v>
      </c>
      <c r="O545">
        <v>10559.78</v>
      </c>
      <c r="P545">
        <v>0.08</v>
      </c>
      <c r="Q545">
        <v>844.78</v>
      </c>
      <c r="R545">
        <v>9715</v>
      </c>
      <c r="S545">
        <v>777.2</v>
      </c>
      <c r="T545">
        <v>10492.2</v>
      </c>
      <c r="U545" t="s">
        <v>39</v>
      </c>
    </row>
    <row r="546" spans="1:21" x14ac:dyDescent="0.35">
      <c r="A546" t="s">
        <v>660</v>
      </c>
      <c r="B546" s="1">
        <v>45194</v>
      </c>
      <c r="C546">
        <v>2023</v>
      </c>
      <c r="D546" t="s">
        <v>81</v>
      </c>
      <c r="E546" t="s">
        <v>82</v>
      </c>
      <c r="F546" t="s">
        <v>35</v>
      </c>
      <c r="G546" t="s">
        <v>83</v>
      </c>
      <c r="H546" t="s">
        <v>208</v>
      </c>
      <c r="I546" t="s">
        <v>209</v>
      </c>
      <c r="J546" t="s">
        <v>47</v>
      </c>
      <c r="K546" t="s">
        <v>68</v>
      </c>
      <c r="L546" t="s">
        <v>73</v>
      </c>
      <c r="M546">
        <v>12</v>
      </c>
      <c r="N546">
        <v>49.99</v>
      </c>
      <c r="O546">
        <v>599.88</v>
      </c>
      <c r="P546">
        <v>0.05</v>
      </c>
      <c r="Q546">
        <v>29.99</v>
      </c>
      <c r="R546">
        <v>569.89</v>
      </c>
      <c r="S546">
        <v>45.59</v>
      </c>
      <c r="T546">
        <v>615.48</v>
      </c>
      <c r="U546" t="s">
        <v>39</v>
      </c>
    </row>
    <row r="547" spans="1:21" x14ac:dyDescent="0.35">
      <c r="A547" t="s">
        <v>661</v>
      </c>
      <c r="B547" s="1">
        <v>45198</v>
      </c>
      <c r="C547">
        <v>2023</v>
      </c>
      <c r="D547" t="s">
        <v>91</v>
      </c>
      <c r="E547" t="s">
        <v>92</v>
      </c>
      <c r="F547" t="s">
        <v>24</v>
      </c>
      <c r="G547" t="s">
        <v>93</v>
      </c>
      <c r="H547" t="s">
        <v>125</v>
      </c>
      <c r="I547" t="s">
        <v>126</v>
      </c>
      <c r="J547" t="s">
        <v>28</v>
      </c>
      <c r="K547" t="s">
        <v>48</v>
      </c>
      <c r="L547" t="s">
        <v>38</v>
      </c>
      <c r="M547">
        <v>18</v>
      </c>
      <c r="N547">
        <v>79.989999999999995</v>
      </c>
      <c r="O547">
        <v>1439.82</v>
      </c>
      <c r="P547">
        <v>0.13</v>
      </c>
      <c r="Q547">
        <v>187.18</v>
      </c>
      <c r="R547">
        <v>1252.6400000000001</v>
      </c>
      <c r="S547">
        <v>100.21</v>
      </c>
      <c r="T547">
        <v>1352.85</v>
      </c>
      <c r="U547" t="s">
        <v>39</v>
      </c>
    </row>
    <row r="548" spans="1:21" x14ac:dyDescent="0.35">
      <c r="A548" t="s">
        <v>662</v>
      </c>
      <c r="B548" s="1">
        <v>45201</v>
      </c>
      <c r="C548">
        <v>2023</v>
      </c>
      <c r="D548" t="s">
        <v>22</v>
      </c>
      <c r="E548" t="s">
        <v>23</v>
      </c>
      <c r="F548" t="s">
        <v>24</v>
      </c>
      <c r="G548" t="s">
        <v>25</v>
      </c>
      <c r="H548" t="s">
        <v>66</v>
      </c>
      <c r="I548" t="s">
        <v>67</v>
      </c>
      <c r="J548" t="s">
        <v>56</v>
      </c>
      <c r="K548" t="s">
        <v>68</v>
      </c>
      <c r="L548" t="s">
        <v>30</v>
      </c>
      <c r="M548">
        <v>26</v>
      </c>
      <c r="N548">
        <v>229.99</v>
      </c>
      <c r="O548">
        <v>5979.74</v>
      </c>
      <c r="P548">
        <v>0.08</v>
      </c>
      <c r="Q548">
        <v>478.38</v>
      </c>
      <c r="R548">
        <v>5501.36</v>
      </c>
      <c r="S548">
        <v>440.11</v>
      </c>
      <c r="T548">
        <v>5941.47</v>
      </c>
      <c r="U548" t="s">
        <v>39</v>
      </c>
    </row>
    <row r="549" spans="1:21" x14ac:dyDescent="0.35">
      <c r="A549" t="s">
        <v>663</v>
      </c>
      <c r="B549" s="1">
        <v>45202</v>
      </c>
      <c r="C549">
        <v>2023</v>
      </c>
      <c r="D549" t="s">
        <v>75</v>
      </c>
      <c r="E549" t="s">
        <v>76</v>
      </c>
      <c r="F549" t="s">
        <v>64</v>
      </c>
      <c r="G549" t="s">
        <v>77</v>
      </c>
      <c r="H549" t="s">
        <v>145</v>
      </c>
      <c r="I549" t="s">
        <v>146</v>
      </c>
      <c r="J549" t="s">
        <v>47</v>
      </c>
      <c r="K549" t="s">
        <v>37</v>
      </c>
      <c r="L549" t="s">
        <v>38</v>
      </c>
      <c r="M549">
        <v>25</v>
      </c>
      <c r="N549">
        <v>129.99</v>
      </c>
      <c r="O549">
        <v>3249.75</v>
      </c>
      <c r="P549">
        <v>0.16</v>
      </c>
      <c r="Q549">
        <v>519.96</v>
      </c>
      <c r="R549">
        <v>2729.79</v>
      </c>
      <c r="S549">
        <v>218.38</v>
      </c>
      <c r="T549">
        <v>2948.17</v>
      </c>
      <c r="U549" t="s">
        <v>39</v>
      </c>
    </row>
    <row r="550" spans="1:21" x14ac:dyDescent="0.35">
      <c r="A550" t="s">
        <v>664</v>
      </c>
      <c r="B550" s="1">
        <v>45203</v>
      </c>
      <c r="C550">
        <v>2023</v>
      </c>
      <c r="D550" t="s">
        <v>81</v>
      </c>
      <c r="E550" t="s">
        <v>82</v>
      </c>
      <c r="F550" t="s">
        <v>35</v>
      </c>
      <c r="G550" t="s">
        <v>83</v>
      </c>
      <c r="H550" t="s">
        <v>94</v>
      </c>
      <c r="I550" t="s">
        <v>95</v>
      </c>
      <c r="J550" t="s">
        <v>56</v>
      </c>
      <c r="K550" t="s">
        <v>68</v>
      </c>
      <c r="L550" t="s">
        <v>38</v>
      </c>
      <c r="M550">
        <v>8</v>
      </c>
      <c r="N550">
        <v>349.99</v>
      </c>
      <c r="O550">
        <v>2799.92</v>
      </c>
      <c r="P550">
        <v>0.08</v>
      </c>
      <c r="Q550">
        <v>223.99</v>
      </c>
      <c r="R550">
        <v>2575.9299999999998</v>
      </c>
      <c r="S550">
        <v>206.07</v>
      </c>
      <c r="T550">
        <v>2782</v>
      </c>
      <c r="U550" t="s">
        <v>39</v>
      </c>
    </row>
    <row r="551" spans="1:21" x14ac:dyDescent="0.35">
      <c r="A551" t="s">
        <v>665</v>
      </c>
      <c r="B551" s="1">
        <v>45204</v>
      </c>
      <c r="C551">
        <v>2023</v>
      </c>
      <c r="D551" t="s">
        <v>75</v>
      </c>
      <c r="E551" t="s">
        <v>76</v>
      </c>
      <c r="F551" t="s">
        <v>64</v>
      </c>
      <c r="G551" t="s">
        <v>77</v>
      </c>
      <c r="H551" t="s">
        <v>208</v>
      </c>
      <c r="I551" t="s">
        <v>209</v>
      </c>
      <c r="J551" t="s">
        <v>47</v>
      </c>
      <c r="K551" t="s">
        <v>48</v>
      </c>
      <c r="L551" t="s">
        <v>38</v>
      </c>
      <c r="M551">
        <v>30</v>
      </c>
      <c r="N551">
        <v>49.99</v>
      </c>
      <c r="O551">
        <v>1499.7</v>
      </c>
      <c r="P551">
        <v>0.16</v>
      </c>
      <c r="Q551">
        <v>239.95</v>
      </c>
      <c r="R551">
        <v>1259.75</v>
      </c>
      <c r="S551">
        <v>100.78</v>
      </c>
      <c r="T551">
        <v>1360.53</v>
      </c>
      <c r="U551" t="s">
        <v>39</v>
      </c>
    </row>
    <row r="552" spans="1:21" x14ac:dyDescent="0.35">
      <c r="A552" t="s">
        <v>666</v>
      </c>
      <c r="B552" s="1">
        <v>45205</v>
      </c>
      <c r="C552">
        <v>2023</v>
      </c>
      <c r="D552" t="s">
        <v>91</v>
      </c>
      <c r="E552" t="s">
        <v>92</v>
      </c>
      <c r="F552" t="s">
        <v>24</v>
      </c>
      <c r="G552" t="s">
        <v>93</v>
      </c>
      <c r="H552" t="s">
        <v>104</v>
      </c>
      <c r="I552" t="s">
        <v>105</v>
      </c>
      <c r="J552" t="s">
        <v>47</v>
      </c>
      <c r="K552" t="s">
        <v>68</v>
      </c>
      <c r="L552" t="s">
        <v>49</v>
      </c>
      <c r="M552">
        <v>22</v>
      </c>
      <c r="N552">
        <v>479.99</v>
      </c>
      <c r="O552">
        <v>10559.78</v>
      </c>
      <c r="P552">
        <v>0.08</v>
      </c>
      <c r="Q552">
        <v>844.78</v>
      </c>
      <c r="R552">
        <v>9715</v>
      </c>
      <c r="S552">
        <v>777.2</v>
      </c>
      <c r="T552">
        <v>10492.2</v>
      </c>
      <c r="U552" t="s">
        <v>39</v>
      </c>
    </row>
    <row r="553" spans="1:21" x14ac:dyDescent="0.35">
      <c r="A553" t="s">
        <v>667</v>
      </c>
      <c r="B553" s="1">
        <v>45208</v>
      </c>
      <c r="C553">
        <v>2023</v>
      </c>
      <c r="D553" t="s">
        <v>142</v>
      </c>
      <c r="E553" t="s">
        <v>143</v>
      </c>
      <c r="F553" t="s">
        <v>43</v>
      </c>
      <c r="G553" t="s">
        <v>144</v>
      </c>
      <c r="H553" t="s">
        <v>26</v>
      </c>
      <c r="I553" t="s">
        <v>27</v>
      </c>
      <c r="J553" t="s">
        <v>28</v>
      </c>
      <c r="K553" t="s">
        <v>60</v>
      </c>
      <c r="L553" t="s">
        <v>30</v>
      </c>
      <c r="M553">
        <v>16</v>
      </c>
      <c r="N553">
        <v>8.99</v>
      </c>
      <c r="O553">
        <v>143.84</v>
      </c>
      <c r="P553">
        <v>0.05</v>
      </c>
      <c r="Q553">
        <v>7.19</v>
      </c>
      <c r="R553">
        <v>136.65</v>
      </c>
      <c r="S553">
        <v>10.93</v>
      </c>
      <c r="T553">
        <v>147.58000000000001</v>
      </c>
      <c r="U553" t="s">
        <v>39</v>
      </c>
    </row>
    <row r="554" spans="1:21" x14ac:dyDescent="0.35">
      <c r="A554" t="s">
        <v>668</v>
      </c>
      <c r="B554" s="1">
        <v>45208</v>
      </c>
      <c r="C554">
        <v>2023</v>
      </c>
      <c r="D554" t="s">
        <v>186</v>
      </c>
      <c r="E554" t="s">
        <v>187</v>
      </c>
      <c r="F554" t="s">
        <v>43</v>
      </c>
      <c r="G554" t="s">
        <v>188</v>
      </c>
      <c r="H554" t="s">
        <v>94</v>
      </c>
      <c r="I554" t="s">
        <v>95</v>
      </c>
      <c r="J554" t="s">
        <v>56</v>
      </c>
      <c r="K554" t="s">
        <v>48</v>
      </c>
      <c r="L554" t="s">
        <v>73</v>
      </c>
      <c r="M554">
        <v>25</v>
      </c>
      <c r="N554">
        <v>349.99</v>
      </c>
      <c r="O554">
        <v>8749.75</v>
      </c>
      <c r="P554">
        <v>0.08</v>
      </c>
      <c r="Q554">
        <v>699.98</v>
      </c>
      <c r="R554">
        <v>8049.77</v>
      </c>
      <c r="S554">
        <v>643.98</v>
      </c>
      <c r="T554">
        <v>8693.75</v>
      </c>
      <c r="U554" t="s">
        <v>111</v>
      </c>
    </row>
    <row r="555" spans="1:21" x14ac:dyDescent="0.35">
      <c r="A555" t="s">
        <v>669</v>
      </c>
      <c r="B555" s="1">
        <v>45210</v>
      </c>
      <c r="C555">
        <v>2023</v>
      </c>
      <c r="D555" t="s">
        <v>186</v>
      </c>
      <c r="E555" t="s">
        <v>187</v>
      </c>
      <c r="F555" t="s">
        <v>43</v>
      </c>
      <c r="G555" t="s">
        <v>188</v>
      </c>
      <c r="H555" t="s">
        <v>71</v>
      </c>
      <c r="I555" t="s">
        <v>72</v>
      </c>
      <c r="J555" t="s">
        <v>47</v>
      </c>
      <c r="K555" t="s">
        <v>29</v>
      </c>
      <c r="L555" t="s">
        <v>73</v>
      </c>
      <c r="M555">
        <v>9</v>
      </c>
      <c r="N555">
        <v>1199.99</v>
      </c>
      <c r="O555">
        <v>10799.91</v>
      </c>
      <c r="P555">
        <v>0</v>
      </c>
      <c r="Q555">
        <v>0</v>
      </c>
      <c r="R555">
        <v>10799.91</v>
      </c>
      <c r="S555">
        <v>863.99</v>
      </c>
      <c r="T555">
        <v>11663.9</v>
      </c>
      <c r="U555" t="s">
        <v>39</v>
      </c>
    </row>
    <row r="556" spans="1:21" x14ac:dyDescent="0.35">
      <c r="A556" t="s">
        <v>670</v>
      </c>
      <c r="B556" s="1">
        <v>45212</v>
      </c>
      <c r="C556">
        <v>2023</v>
      </c>
      <c r="D556" t="s">
        <v>75</v>
      </c>
      <c r="E556" t="s">
        <v>76</v>
      </c>
      <c r="F556" t="s">
        <v>64</v>
      </c>
      <c r="G556" t="s">
        <v>77</v>
      </c>
      <c r="H556" t="s">
        <v>100</v>
      </c>
      <c r="I556" t="s">
        <v>101</v>
      </c>
      <c r="J556" t="s">
        <v>47</v>
      </c>
      <c r="K556" t="s">
        <v>68</v>
      </c>
      <c r="L556" t="s">
        <v>73</v>
      </c>
      <c r="M556">
        <v>15</v>
      </c>
      <c r="N556">
        <v>29.99</v>
      </c>
      <c r="O556">
        <v>449.85</v>
      </c>
      <c r="P556">
        <v>0.05</v>
      </c>
      <c r="Q556">
        <v>22.49</v>
      </c>
      <c r="R556">
        <v>427.36</v>
      </c>
      <c r="S556">
        <v>34.19</v>
      </c>
      <c r="T556">
        <v>461.55</v>
      </c>
      <c r="U556" t="s">
        <v>39</v>
      </c>
    </row>
    <row r="557" spans="1:21" x14ac:dyDescent="0.35">
      <c r="A557" t="s">
        <v>671</v>
      </c>
      <c r="B557" s="1">
        <v>45212</v>
      </c>
      <c r="C557">
        <v>2023</v>
      </c>
      <c r="D557" t="s">
        <v>51</v>
      </c>
      <c r="E557" t="s">
        <v>52</v>
      </c>
      <c r="F557" t="s">
        <v>24</v>
      </c>
      <c r="G557" t="s">
        <v>53</v>
      </c>
      <c r="H557" t="s">
        <v>100</v>
      </c>
      <c r="I557" t="s">
        <v>101</v>
      </c>
      <c r="J557" t="s">
        <v>47</v>
      </c>
      <c r="K557" t="s">
        <v>29</v>
      </c>
      <c r="L557" t="s">
        <v>30</v>
      </c>
      <c r="M557">
        <v>17</v>
      </c>
      <c r="N557">
        <v>29.99</v>
      </c>
      <c r="O557">
        <v>509.83</v>
      </c>
      <c r="P557">
        <v>0.05</v>
      </c>
      <c r="Q557">
        <v>25.49</v>
      </c>
      <c r="R557">
        <v>484.34</v>
      </c>
      <c r="S557">
        <v>38.75</v>
      </c>
      <c r="T557">
        <v>523.09</v>
      </c>
      <c r="U557" t="s">
        <v>111</v>
      </c>
    </row>
    <row r="558" spans="1:21" x14ac:dyDescent="0.35">
      <c r="A558" t="s">
        <v>672</v>
      </c>
      <c r="B558" s="1">
        <v>45213</v>
      </c>
      <c r="C558">
        <v>2023</v>
      </c>
      <c r="D558" t="s">
        <v>51</v>
      </c>
      <c r="E558" t="s">
        <v>52</v>
      </c>
      <c r="F558" t="s">
        <v>24</v>
      </c>
      <c r="G558" t="s">
        <v>53</v>
      </c>
      <c r="H558" t="s">
        <v>71</v>
      </c>
      <c r="I558" t="s">
        <v>72</v>
      </c>
      <c r="J558" t="s">
        <v>47</v>
      </c>
      <c r="K558" t="s">
        <v>60</v>
      </c>
      <c r="L558" t="s">
        <v>38</v>
      </c>
      <c r="M558">
        <v>24</v>
      </c>
      <c r="N558">
        <v>1199.99</v>
      </c>
      <c r="O558">
        <v>28799.759999999998</v>
      </c>
      <c r="P558">
        <v>0.16</v>
      </c>
      <c r="Q558">
        <v>4607.96</v>
      </c>
      <c r="R558">
        <v>24191.8</v>
      </c>
      <c r="S558">
        <v>1935.34</v>
      </c>
      <c r="T558">
        <v>26127.14</v>
      </c>
      <c r="U558" t="s">
        <v>39</v>
      </c>
    </row>
    <row r="559" spans="1:21" x14ac:dyDescent="0.35">
      <c r="A559" t="s">
        <v>673</v>
      </c>
      <c r="B559" s="1">
        <v>45215</v>
      </c>
      <c r="C559">
        <v>2023</v>
      </c>
      <c r="D559" t="s">
        <v>148</v>
      </c>
      <c r="E559" t="s">
        <v>149</v>
      </c>
      <c r="F559" t="s">
        <v>43</v>
      </c>
      <c r="G559" t="s">
        <v>150</v>
      </c>
      <c r="H559" t="s">
        <v>66</v>
      </c>
      <c r="I559" t="s">
        <v>67</v>
      </c>
      <c r="J559" t="s">
        <v>56</v>
      </c>
      <c r="K559" t="s">
        <v>60</v>
      </c>
      <c r="L559" t="s">
        <v>69</v>
      </c>
      <c r="M559">
        <v>6</v>
      </c>
      <c r="N559">
        <v>229.99</v>
      </c>
      <c r="O559">
        <v>1379.94</v>
      </c>
      <c r="P559">
        <v>0</v>
      </c>
      <c r="Q559">
        <v>0</v>
      </c>
      <c r="R559">
        <v>1379.94</v>
      </c>
      <c r="S559">
        <v>110.4</v>
      </c>
      <c r="T559">
        <v>1490.34</v>
      </c>
      <c r="U559" t="s">
        <v>39</v>
      </c>
    </row>
    <row r="560" spans="1:21" x14ac:dyDescent="0.35">
      <c r="A560" t="s">
        <v>674</v>
      </c>
      <c r="B560" s="1">
        <v>45215</v>
      </c>
      <c r="C560">
        <v>2023</v>
      </c>
      <c r="D560" t="s">
        <v>148</v>
      </c>
      <c r="E560" t="s">
        <v>149</v>
      </c>
      <c r="F560" t="s">
        <v>43</v>
      </c>
      <c r="G560" t="s">
        <v>150</v>
      </c>
      <c r="H560" t="s">
        <v>58</v>
      </c>
      <c r="I560" t="s">
        <v>59</v>
      </c>
      <c r="J560" t="s">
        <v>56</v>
      </c>
      <c r="K560" t="s">
        <v>60</v>
      </c>
      <c r="L560" t="s">
        <v>49</v>
      </c>
      <c r="M560">
        <v>30</v>
      </c>
      <c r="N560">
        <v>599.99</v>
      </c>
      <c r="O560">
        <v>17999.7</v>
      </c>
      <c r="P560">
        <v>0.08</v>
      </c>
      <c r="Q560">
        <v>1439.98</v>
      </c>
      <c r="R560">
        <v>16559.72</v>
      </c>
      <c r="S560">
        <v>1324.78</v>
      </c>
      <c r="T560">
        <v>17884.5</v>
      </c>
      <c r="U560" t="s">
        <v>39</v>
      </c>
    </row>
    <row r="561" spans="1:21" x14ac:dyDescent="0.35">
      <c r="A561" t="s">
        <v>675</v>
      </c>
      <c r="B561" s="1">
        <v>45215</v>
      </c>
      <c r="C561">
        <v>2023</v>
      </c>
      <c r="D561" t="s">
        <v>122</v>
      </c>
      <c r="E561" t="s">
        <v>123</v>
      </c>
      <c r="F561" t="s">
        <v>64</v>
      </c>
      <c r="G561" t="s">
        <v>124</v>
      </c>
      <c r="H561" t="s">
        <v>208</v>
      </c>
      <c r="I561" t="s">
        <v>209</v>
      </c>
      <c r="J561" t="s">
        <v>47</v>
      </c>
      <c r="K561" t="s">
        <v>29</v>
      </c>
      <c r="L561" t="s">
        <v>73</v>
      </c>
      <c r="M561">
        <v>17</v>
      </c>
      <c r="N561">
        <v>49.99</v>
      </c>
      <c r="O561">
        <v>849.83</v>
      </c>
      <c r="P561">
        <v>0.05</v>
      </c>
      <c r="Q561">
        <v>42.49</v>
      </c>
      <c r="R561">
        <v>807.34</v>
      </c>
      <c r="S561">
        <v>64.59</v>
      </c>
      <c r="T561">
        <v>871.93</v>
      </c>
      <c r="U561" t="s">
        <v>39</v>
      </c>
    </row>
    <row r="562" spans="1:21" x14ac:dyDescent="0.35">
      <c r="A562" t="s">
        <v>676</v>
      </c>
      <c r="B562" s="1">
        <v>45218</v>
      </c>
      <c r="C562">
        <v>2023</v>
      </c>
      <c r="D562" t="s">
        <v>107</v>
      </c>
      <c r="E562" t="s">
        <v>108</v>
      </c>
      <c r="F562" t="s">
        <v>35</v>
      </c>
      <c r="G562" t="s">
        <v>109</v>
      </c>
      <c r="H562" t="s">
        <v>26</v>
      </c>
      <c r="I562" t="s">
        <v>27</v>
      </c>
      <c r="J562" t="s">
        <v>28</v>
      </c>
      <c r="K562" t="s">
        <v>37</v>
      </c>
      <c r="L562" t="s">
        <v>73</v>
      </c>
      <c r="M562">
        <v>28</v>
      </c>
      <c r="N562">
        <v>8.99</v>
      </c>
      <c r="O562">
        <v>251.72</v>
      </c>
      <c r="P562">
        <v>0.08</v>
      </c>
      <c r="Q562">
        <v>20.14</v>
      </c>
      <c r="R562">
        <v>231.58</v>
      </c>
      <c r="S562">
        <v>18.53</v>
      </c>
      <c r="T562">
        <v>250.11</v>
      </c>
      <c r="U562" t="s">
        <v>39</v>
      </c>
    </row>
    <row r="563" spans="1:21" x14ac:dyDescent="0.35">
      <c r="A563" t="s">
        <v>677</v>
      </c>
      <c r="B563" s="1">
        <v>45221</v>
      </c>
      <c r="C563">
        <v>2023</v>
      </c>
      <c r="D563" t="s">
        <v>87</v>
      </c>
      <c r="E563" t="s">
        <v>88</v>
      </c>
      <c r="F563" t="s">
        <v>24</v>
      </c>
      <c r="G563" t="s">
        <v>89</v>
      </c>
      <c r="H563" t="s">
        <v>208</v>
      </c>
      <c r="I563" t="s">
        <v>209</v>
      </c>
      <c r="J563" t="s">
        <v>47</v>
      </c>
      <c r="K563" t="s">
        <v>60</v>
      </c>
      <c r="L563" t="s">
        <v>38</v>
      </c>
      <c r="M563">
        <v>5</v>
      </c>
      <c r="N563">
        <v>49.99</v>
      </c>
      <c r="O563">
        <v>249.95</v>
      </c>
      <c r="P563">
        <v>0.08</v>
      </c>
      <c r="Q563">
        <v>20</v>
      </c>
      <c r="R563">
        <v>229.95</v>
      </c>
      <c r="S563">
        <v>18.399999999999999</v>
      </c>
      <c r="T563">
        <v>0</v>
      </c>
      <c r="U563" t="s">
        <v>31</v>
      </c>
    </row>
    <row r="564" spans="1:21" x14ac:dyDescent="0.35">
      <c r="A564" t="s">
        <v>678</v>
      </c>
      <c r="B564" s="1">
        <v>45222</v>
      </c>
      <c r="C564">
        <v>2023</v>
      </c>
      <c r="D564" t="s">
        <v>148</v>
      </c>
      <c r="E564" t="s">
        <v>149</v>
      </c>
      <c r="F564" t="s">
        <v>43</v>
      </c>
      <c r="G564" t="s">
        <v>150</v>
      </c>
      <c r="H564" t="s">
        <v>26</v>
      </c>
      <c r="I564" t="s">
        <v>27</v>
      </c>
      <c r="J564" t="s">
        <v>28</v>
      </c>
      <c r="K564" t="s">
        <v>29</v>
      </c>
      <c r="L564" t="s">
        <v>38</v>
      </c>
      <c r="M564">
        <v>5</v>
      </c>
      <c r="N564">
        <v>8.99</v>
      </c>
      <c r="O564">
        <v>44.95</v>
      </c>
      <c r="P564">
        <v>0.08</v>
      </c>
      <c r="Q564">
        <v>3.6</v>
      </c>
      <c r="R564">
        <v>41.35</v>
      </c>
      <c r="S564">
        <v>3.31</v>
      </c>
      <c r="T564">
        <v>44.66</v>
      </c>
      <c r="U564" t="s">
        <v>39</v>
      </c>
    </row>
    <row r="565" spans="1:21" x14ac:dyDescent="0.35">
      <c r="A565" t="s">
        <v>679</v>
      </c>
      <c r="B565" s="1">
        <v>45224</v>
      </c>
      <c r="C565">
        <v>2023</v>
      </c>
      <c r="D565" t="s">
        <v>107</v>
      </c>
      <c r="E565" t="s">
        <v>108</v>
      </c>
      <c r="F565" t="s">
        <v>35</v>
      </c>
      <c r="G565" t="s">
        <v>109</v>
      </c>
      <c r="H565" t="s">
        <v>78</v>
      </c>
      <c r="I565" t="s">
        <v>79</v>
      </c>
      <c r="J565" t="s">
        <v>28</v>
      </c>
      <c r="K565" t="s">
        <v>37</v>
      </c>
      <c r="L565" t="s">
        <v>38</v>
      </c>
      <c r="M565">
        <v>11</v>
      </c>
      <c r="N565">
        <v>5.99</v>
      </c>
      <c r="O565">
        <v>65.89</v>
      </c>
      <c r="P565">
        <v>0.13</v>
      </c>
      <c r="Q565">
        <v>8.57</v>
      </c>
      <c r="R565">
        <v>57.32</v>
      </c>
      <c r="S565">
        <v>4.59</v>
      </c>
      <c r="T565">
        <v>61.91</v>
      </c>
      <c r="U565" t="s">
        <v>39</v>
      </c>
    </row>
    <row r="566" spans="1:21" x14ac:dyDescent="0.35">
      <c r="A566" t="s">
        <v>680</v>
      </c>
      <c r="B566" s="1">
        <v>45225</v>
      </c>
      <c r="C566">
        <v>2023</v>
      </c>
      <c r="D566" t="s">
        <v>122</v>
      </c>
      <c r="E566" t="s">
        <v>123</v>
      </c>
      <c r="F566" t="s">
        <v>64</v>
      </c>
      <c r="G566" t="s">
        <v>124</v>
      </c>
      <c r="H566" t="s">
        <v>66</v>
      </c>
      <c r="I566" t="s">
        <v>67</v>
      </c>
      <c r="J566" t="s">
        <v>56</v>
      </c>
      <c r="K566" t="s">
        <v>68</v>
      </c>
      <c r="L566" t="s">
        <v>38</v>
      </c>
      <c r="M566">
        <v>16</v>
      </c>
      <c r="N566">
        <v>229.99</v>
      </c>
      <c r="O566">
        <v>3679.84</v>
      </c>
      <c r="P566">
        <v>0.13</v>
      </c>
      <c r="Q566">
        <v>478.38</v>
      </c>
      <c r="R566">
        <v>3201.46</v>
      </c>
      <c r="S566">
        <v>256.12</v>
      </c>
      <c r="T566">
        <v>0</v>
      </c>
      <c r="U566" t="s">
        <v>31</v>
      </c>
    </row>
    <row r="567" spans="1:21" x14ac:dyDescent="0.35">
      <c r="A567" t="s">
        <v>681</v>
      </c>
      <c r="B567" s="1">
        <v>45229</v>
      </c>
      <c r="C567">
        <v>2023</v>
      </c>
      <c r="D567" t="s">
        <v>122</v>
      </c>
      <c r="E567" t="s">
        <v>123</v>
      </c>
      <c r="F567" t="s">
        <v>64</v>
      </c>
      <c r="G567" t="s">
        <v>124</v>
      </c>
      <c r="H567" t="s">
        <v>94</v>
      </c>
      <c r="I567" t="s">
        <v>95</v>
      </c>
      <c r="J567" t="s">
        <v>56</v>
      </c>
      <c r="K567" t="s">
        <v>37</v>
      </c>
      <c r="L567" t="s">
        <v>49</v>
      </c>
      <c r="M567">
        <v>18</v>
      </c>
      <c r="N567">
        <v>349.99</v>
      </c>
      <c r="O567">
        <v>6299.82</v>
      </c>
      <c r="P567">
        <v>0.05</v>
      </c>
      <c r="Q567">
        <v>314.99</v>
      </c>
      <c r="R567">
        <v>5984.83</v>
      </c>
      <c r="S567">
        <v>478.79</v>
      </c>
      <c r="T567">
        <v>6463.62</v>
      </c>
      <c r="U567" t="s">
        <v>39</v>
      </c>
    </row>
    <row r="568" spans="1:21" x14ac:dyDescent="0.35">
      <c r="A568" t="s">
        <v>682</v>
      </c>
      <c r="B568" s="1">
        <v>45230</v>
      </c>
      <c r="C568">
        <v>2023</v>
      </c>
      <c r="D568" t="s">
        <v>122</v>
      </c>
      <c r="E568" t="s">
        <v>123</v>
      </c>
      <c r="F568" t="s">
        <v>64</v>
      </c>
      <c r="G568" t="s">
        <v>124</v>
      </c>
      <c r="H568" t="s">
        <v>145</v>
      </c>
      <c r="I568" t="s">
        <v>146</v>
      </c>
      <c r="J568" t="s">
        <v>47</v>
      </c>
      <c r="K568" t="s">
        <v>68</v>
      </c>
      <c r="L568" t="s">
        <v>30</v>
      </c>
      <c r="M568">
        <v>15</v>
      </c>
      <c r="N568">
        <v>129.99</v>
      </c>
      <c r="O568">
        <v>1949.85</v>
      </c>
      <c r="P568">
        <v>0.05</v>
      </c>
      <c r="Q568">
        <v>97.49</v>
      </c>
      <c r="R568">
        <v>1852.36</v>
      </c>
      <c r="S568">
        <v>148.19</v>
      </c>
      <c r="T568">
        <v>2000.55</v>
      </c>
      <c r="U568" t="s">
        <v>39</v>
      </c>
    </row>
    <row r="569" spans="1:21" x14ac:dyDescent="0.35">
      <c r="A569" t="s">
        <v>683</v>
      </c>
      <c r="B569" s="1">
        <v>45230</v>
      </c>
      <c r="C569">
        <v>2023</v>
      </c>
      <c r="D569" t="s">
        <v>91</v>
      </c>
      <c r="E569" t="s">
        <v>92</v>
      </c>
      <c r="F569" t="s">
        <v>24</v>
      </c>
      <c r="G569" t="s">
        <v>93</v>
      </c>
      <c r="H569" t="s">
        <v>100</v>
      </c>
      <c r="I569" t="s">
        <v>101</v>
      </c>
      <c r="J569" t="s">
        <v>47</v>
      </c>
      <c r="K569" t="s">
        <v>29</v>
      </c>
      <c r="L569" t="s">
        <v>38</v>
      </c>
      <c r="M569">
        <v>5</v>
      </c>
      <c r="N569">
        <v>29.99</v>
      </c>
      <c r="O569">
        <v>149.94999999999999</v>
      </c>
      <c r="P569">
        <v>0.08</v>
      </c>
      <c r="Q569">
        <v>12</v>
      </c>
      <c r="R569">
        <v>137.94999999999999</v>
      </c>
      <c r="S569">
        <v>11.04</v>
      </c>
      <c r="T569">
        <v>148.99</v>
      </c>
      <c r="U569" t="s">
        <v>39</v>
      </c>
    </row>
    <row r="570" spans="1:21" x14ac:dyDescent="0.35">
      <c r="A570" t="s">
        <v>684</v>
      </c>
      <c r="B570" s="1">
        <v>45232</v>
      </c>
      <c r="C570">
        <v>2023</v>
      </c>
      <c r="D570" t="s">
        <v>148</v>
      </c>
      <c r="E570" t="s">
        <v>149</v>
      </c>
      <c r="F570" t="s">
        <v>43</v>
      </c>
      <c r="G570" t="s">
        <v>150</v>
      </c>
      <c r="H570" t="s">
        <v>84</v>
      </c>
      <c r="I570" t="s">
        <v>85</v>
      </c>
      <c r="J570" t="s">
        <v>47</v>
      </c>
      <c r="K570" t="s">
        <v>60</v>
      </c>
      <c r="L570" t="s">
        <v>30</v>
      </c>
      <c r="M570">
        <v>11</v>
      </c>
      <c r="N570">
        <v>249.99</v>
      </c>
      <c r="O570">
        <v>2749.89</v>
      </c>
      <c r="P570">
        <v>0.05</v>
      </c>
      <c r="Q570">
        <v>137.49</v>
      </c>
      <c r="R570">
        <v>2612.4</v>
      </c>
      <c r="S570">
        <v>208.99</v>
      </c>
      <c r="T570">
        <v>2821.39</v>
      </c>
      <c r="U570" t="s">
        <v>111</v>
      </c>
    </row>
    <row r="571" spans="1:21" x14ac:dyDescent="0.35">
      <c r="A571" t="s">
        <v>685</v>
      </c>
      <c r="B571" s="1">
        <v>45232</v>
      </c>
      <c r="C571">
        <v>2023</v>
      </c>
      <c r="D571" t="s">
        <v>91</v>
      </c>
      <c r="E571" t="s">
        <v>92</v>
      </c>
      <c r="F571" t="s">
        <v>24</v>
      </c>
      <c r="G571" t="s">
        <v>93</v>
      </c>
      <c r="H571" t="s">
        <v>66</v>
      </c>
      <c r="I571" t="s">
        <v>67</v>
      </c>
      <c r="J571" t="s">
        <v>56</v>
      </c>
      <c r="K571" t="s">
        <v>48</v>
      </c>
      <c r="L571" t="s">
        <v>49</v>
      </c>
      <c r="M571">
        <v>9</v>
      </c>
      <c r="N571">
        <v>229.99</v>
      </c>
      <c r="O571">
        <v>2069.91</v>
      </c>
      <c r="P571">
        <v>0</v>
      </c>
      <c r="Q571">
        <v>0</v>
      </c>
      <c r="R571">
        <v>2069.91</v>
      </c>
      <c r="S571">
        <v>165.59</v>
      </c>
      <c r="T571">
        <v>0</v>
      </c>
      <c r="U571" t="s">
        <v>31</v>
      </c>
    </row>
    <row r="572" spans="1:21" x14ac:dyDescent="0.35">
      <c r="A572" t="s">
        <v>686</v>
      </c>
      <c r="B572" s="1">
        <v>45234</v>
      </c>
      <c r="C572">
        <v>2023</v>
      </c>
      <c r="D572" t="s">
        <v>51</v>
      </c>
      <c r="E572" t="s">
        <v>52</v>
      </c>
      <c r="F572" t="s">
        <v>24</v>
      </c>
      <c r="G572" t="s">
        <v>53</v>
      </c>
      <c r="H572" t="s">
        <v>94</v>
      </c>
      <c r="I572" t="s">
        <v>95</v>
      </c>
      <c r="J572" t="s">
        <v>56</v>
      </c>
      <c r="K572" t="s">
        <v>68</v>
      </c>
      <c r="L572" t="s">
        <v>73</v>
      </c>
      <c r="M572">
        <v>20</v>
      </c>
      <c r="N572">
        <v>349.99</v>
      </c>
      <c r="O572">
        <v>6999.8</v>
      </c>
      <c r="P572">
        <v>0.08</v>
      </c>
      <c r="Q572">
        <v>559.98</v>
      </c>
      <c r="R572">
        <v>6439.82</v>
      </c>
      <c r="S572">
        <v>515.19000000000005</v>
      </c>
      <c r="T572">
        <v>0</v>
      </c>
      <c r="U572" t="s">
        <v>31</v>
      </c>
    </row>
    <row r="573" spans="1:21" x14ac:dyDescent="0.35">
      <c r="A573" t="s">
        <v>687</v>
      </c>
      <c r="B573" s="1">
        <v>45240</v>
      </c>
      <c r="C573">
        <v>2023</v>
      </c>
      <c r="D573" t="s">
        <v>22</v>
      </c>
      <c r="E573" t="s">
        <v>23</v>
      </c>
      <c r="F573" t="s">
        <v>24</v>
      </c>
      <c r="G573" t="s">
        <v>25</v>
      </c>
      <c r="H573" t="s">
        <v>100</v>
      </c>
      <c r="I573" t="s">
        <v>101</v>
      </c>
      <c r="J573" t="s">
        <v>47</v>
      </c>
      <c r="K573" t="s">
        <v>29</v>
      </c>
      <c r="L573" t="s">
        <v>49</v>
      </c>
      <c r="M573">
        <v>21</v>
      </c>
      <c r="N573">
        <v>29.99</v>
      </c>
      <c r="O573">
        <v>629.79</v>
      </c>
      <c r="P573">
        <v>0.08</v>
      </c>
      <c r="Q573">
        <v>50.38</v>
      </c>
      <c r="R573">
        <v>579.41</v>
      </c>
      <c r="S573">
        <v>46.35</v>
      </c>
      <c r="T573">
        <v>625.76</v>
      </c>
      <c r="U573" t="s">
        <v>39</v>
      </c>
    </row>
    <row r="574" spans="1:21" x14ac:dyDescent="0.35">
      <c r="A574" t="s">
        <v>688</v>
      </c>
      <c r="B574" s="1">
        <v>45240</v>
      </c>
      <c r="C574">
        <v>2023</v>
      </c>
      <c r="D574" t="s">
        <v>142</v>
      </c>
      <c r="E574" t="s">
        <v>143</v>
      </c>
      <c r="F574" t="s">
        <v>43</v>
      </c>
      <c r="G574" t="s">
        <v>144</v>
      </c>
      <c r="H574" t="s">
        <v>71</v>
      </c>
      <c r="I574" t="s">
        <v>72</v>
      </c>
      <c r="J574" t="s">
        <v>47</v>
      </c>
      <c r="K574" t="s">
        <v>68</v>
      </c>
      <c r="L574" t="s">
        <v>38</v>
      </c>
      <c r="M574">
        <v>15</v>
      </c>
      <c r="N574">
        <v>1199.99</v>
      </c>
      <c r="O574">
        <v>17999.849999999999</v>
      </c>
      <c r="P574">
        <v>0.13</v>
      </c>
      <c r="Q574">
        <v>2339.98</v>
      </c>
      <c r="R574">
        <v>15659.87</v>
      </c>
      <c r="S574">
        <v>1252.79</v>
      </c>
      <c r="T574">
        <v>16912.66</v>
      </c>
      <c r="U574" t="s">
        <v>39</v>
      </c>
    </row>
    <row r="575" spans="1:21" x14ac:dyDescent="0.35">
      <c r="A575" t="s">
        <v>689</v>
      </c>
      <c r="B575" s="1">
        <v>45241</v>
      </c>
      <c r="C575">
        <v>2023</v>
      </c>
      <c r="D575" t="s">
        <v>122</v>
      </c>
      <c r="E575" t="s">
        <v>123</v>
      </c>
      <c r="F575" t="s">
        <v>64</v>
      </c>
      <c r="G575" t="s">
        <v>124</v>
      </c>
      <c r="H575" t="s">
        <v>100</v>
      </c>
      <c r="I575" t="s">
        <v>101</v>
      </c>
      <c r="J575" t="s">
        <v>47</v>
      </c>
      <c r="K575" t="s">
        <v>29</v>
      </c>
      <c r="L575" t="s">
        <v>69</v>
      </c>
      <c r="M575">
        <v>20</v>
      </c>
      <c r="N575">
        <v>29.99</v>
      </c>
      <c r="O575">
        <v>599.79999999999995</v>
      </c>
      <c r="P575">
        <v>0.08</v>
      </c>
      <c r="Q575">
        <v>47.98</v>
      </c>
      <c r="R575">
        <v>551.82000000000005</v>
      </c>
      <c r="S575">
        <v>44.15</v>
      </c>
      <c r="T575">
        <v>595.97</v>
      </c>
      <c r="U575" t="s">
        <v>39</v>
      </c>
    </row>
    <row r="576" spans="1:21" x14ac:dyDescent="0.35">
      <c r="A576" t="s">
        <v>690</v>
      </c>
      <c r="B576" s="1">
        <v>45247</v>
      </c>
      <c r="C576">
        <v>2023</v>
      </c>
      <c r="D576" t="s">
        <v>33</v>
      </c>
      <c r="E576" t="s">
        <v>34</v>
      </c>
      <c r="F576" t="s">
        <v>35</v>
      </c>
      <c r="G576" t="s">
        <v>36</v>
      </c>
      <c r="H576" t="s">
        <v>66</v>
      </c>
      <c r="I576" t="s">
        <v>67</v>
      </c>
      <c r="J576" t="s">
        <v>56</v>
      </c>
      <c r="K576" t="s">
        <v>37</v>
      </c>
      <c r="L576" t="s">
        <v>49</v>
      </c>
      <c r="M576">
        <v>24</v>
      </c>
      <c r="N576">
        <v>229.99</v>
      </c>
      <c r="O576">
        <v>5519.76</v>
      </c>
      <c r="P576">
        <v>0.08</v>
      </c>
      <c r="Q576">
        <v>441.58</v>
      </c>
      <c r="R576">
        <v>5078.18</v>
      </c>
      <c r="S576">
        <v>406.25</v>
      </c>
      <c r="T576">
        <v>5484.43</v>
      </c>
      <c r="U576" t="s">
        <v>39</v>
      </c>
    </row>
    <row r="577" spans="1:21" x14ac:dyDescent="0.35">
      <c r="A577" t="s">
        <v>691</v>
      </c>
      <c r="B577" s="1">
        <v>45248</v>
      </c>
      <c r="C577">
        <v>2023</v>
      </c>
      <c r="D577" t="s">
        <v>87</v>
      </c>
      <c r="E577" t="s">
        <v>88</v>
      </c>
      <c r="F577" t="s">
        <v>24</v>
      </c>
      <c r="G577" t="s">
        <v>89</v>
      </c>
      <c r="H577" t="s">
        <v>58</v>
      </c>
      <c r="I577" t="s">
        <v>59</v>
      </c>
      <c r="J577" t="s">
        <v>56</v>
      </c>
      <c r="K577" t="s">
        <v>68</v>
      </c>
      <c r="L577" t="s">
        <v>49</v>
      </c>
      <c r="M577">
        <v>19</v>
      </c>
      <c r="N577">
        <v>599.99</v>
      </c>
      <c r="O577">
        <v>11399.81</v>
      </c>
      <c r="P577">
        <v>0.05</v>
      </c>
      <c r="Q577">
        <v>569.99</v>
      </c>
      <c r="R577">
        <v>10829.82</v>
      </c>
      <c r="S577">
        <v>866.39</v>
      </c>
      <c r="T577">
        <v>11696.21</v>
      </c>
      <c r="U577" t="s">
        <v>111</v>
      </c>
    </row>
    <row r="578" spans="1:21" x14ac:dyDescent="0.35">
      <c r="A578" t="s">
        <v>692</v>
      </c>
      <c r="B578" s="1">
        <v>45249</v>
      </c>
      <c r="C578">
        <v>2023</v>
      </c>
      <c r="D578" t="s">
        <v>22</v>
      </c>
      <c r="E578" t="s">
        <v>23</v>
      </c>
      <c r="F578" t="s">
        <v>24</v>
      </c>
      <c r="G578" t="s">
        <v>25</v>
      </c>
      <c r="H578" t="s">
        <v>71</v>
      </c>
      <c r="I578" t="s">
        <v>72</v>
      </c>
      <c r="J578" t="s">
        <v>47</v>
      </c>
      <c r="K578" t="s">
        <v>68</v>
      </c>
      <c r="L578" t="s">
        <v>38</v>
      </c>
      <c r="M578">
        <v>27</v>
      </c>
      <c r="N578">
        <v>1199.99</v>
      </c>
      <c r="O578">
        <v>32399.73</v>
      </c>
      <c r="P578">
        <v>0.16</v>
      </c>
      <c r="Q578">
        <v>5183.96</v>
      </c>
      <c r="R578">
        <v>27215.77</v>
      </c>
      <c r="S578">
        <v>2177.2600000000002</v>
      </c>
      <c r="T578">
        <v>29393.03</v>
      </c>
      <c r="U578" t="s">
        <v>39</v>
      </c>
    </row>
    <row r="579" spans="1:21" x14ac:dyDescent="0.35">
      <c r="A579" t="s">
        <v>693</v>
      </c>
      <c r="B579" s="1">
        <v>45250</v>
      </c>
      <c r="C579">
        <v>2023</v>
      </c>
      <c r="D579" t="s">
        <v>22</v>
      </c>
      <c r="E579" t="s">
        <v>23</v>
      </c>
      <c r="F579" t="s">
        <v>24</v>
      </c>
      <c r="G579" t="s">
        <v>25</v>
      </c>
      <c r="H579" t="s">
        <v>94</v>
      </c>
      <c r="I579" t="s">
        <v>95</v>
      </c>
      <c r="J579" t="s">
        <v>56</v>
      </c>
      <c r="K579" t="s">
        <v>48</v>
      </c>
      <c r="L579" t="s">
        <v>49</v>
      </c>
      <c r="M579">
        <v>20</v>
      </c>
      <c r="N579">
        <v>349.99</v>
      </c>
      <c r="O579">
        <v>6999.8</v>
      </c>
      <c r="P579">
        <v>0.08</v>
      </c>
      <c r="Q579">
        <v>559.98</v>
      </c>
      <c r="R579">
        <v>6439.82</v>
      </c>
      <c r="S579">
        <v>515.19000000000005</v>
      </c>
      <c r="T579">
        <v>6955.01</v>
      </c>
      <c r="U579" t="s">
        <v>111</v>
      </c>
    </row>
    <row r="580" spans="1:21" x14ac:dyDescent="0.35">
      <c r="A580" t="s">
        <v>694</v>
      </c>
      <c r="B580" s="1">
        <v>45251</v>
      </c>
      <c r="C580">
        <v>2023</v>
      </c>
      <c r="D580" t="s">
        <v>51</v>
      </c>
      <c r="E580" t="s">
        <v>52</v>
      </c>
      <c r="F580" t="s">
        <v>24</v>
      </c>
      <c r="G580" t="s">
        <v>53</v>
      </c>
      <c r="H580" t="s">
        <v>84</v>
      </c>
      <c r="I580" t="s">
        <v>85</v>
      </c>
      <c r="J580" t="s">
        <v>47</v>
      </c>
      <c r="K580" t="s">
        <v>60</v>
      </c>
      <c r="L580" t="s">
        <v>38</v>
      </c>
      <c r="M580">
        <v>3</v>
      </c>
      <c r="N580">
        <v>249.99</v>
      </c>
      <c r="O580">
        <v>749.97</v>
      </c>
      <c r="P580">
        <v>0.08</v>
      </c>
      <c r="Q580">
        <v>60</v>
      </c>
      <c r="R580">
        <v>689.97</v>
      </c>
      <c r="S580">
        <v>55.2</v>
      </c>
      <c r="T580">
        <v>745.17</v>
      </c>
      <c r="U580" t="s">
        <v>39</v>
      </c>
    </row>
    <row r="581" spans="1:21" x14ac:dyDescent="0.35">
      <c r="A581" t="s">
        <v>695</v>
      </c>
      <c r="B581" s="1">
        <v>45255</v>
      </c>
      <c r="C581">
        <v>2023</v>
      </c>
      <c r="D581" t="s">
        <v>51</v>
      </c>
      <c r="E581" t="s">
        <v>52</v>
      </c>
      <c r="F581" t="s">
        <v>24</v>
      </c>
      <c r="G581" t="s">
        <v>53</v>
      </c>
      <c r="H581" t="s">
        <v>71</v>
      </c>
      <c r="I581" t="s">
        <v>72</v>
      </c>
      <c r="J581" t="s">
        <v>47</v>
      </c>
      <c r="K581" t="s">
        <v>60</v>
      </c>
      <c r="L581" t="s">
        <v>73</v>
      </c>
      <c r="M581">
        <v>25</v>
      </c>
      <c r="N581">
        <v>1199.99</v>
      </c>
      <c r="O581">
        <v>29999.75</v>
      </c>
      <c r="P581">
        <v>0.08</v>
      </c>
      <c r="Q581">
        <v>2399.98</v>
      </c>
      <c r="R581">
        <v>27599.77</v>
      </c>
      <c r="S581">
        <v>2207.98</v>
      </c>
      <c r="T581">
        <v>29807.75</v>
      </c>
      <c r="U581" t="s">
        <v>39</v>
      </c>
    </row>
    <row r="582" spans="1:21" x14ac:dyDescent="0.35">
      <c r="A582" t="s">
        <v>696</v>
      </c>
      <c r="B582" s="1">
        <v>45255</v>
      </c>
      <c r="C582">
        <v>2023</v>
      </c>
      <c r="D582" t="s">
        <v>62</v>
      </c>
      <c r="E582" t="s">
        <v>63</v>
      </c>
      <c r="F582" t="s">
        <v>64</v>
      </c>
      <c r="G582" t="s">
        <v>65</v>
      </c>
      <c r="H582" t="s">
        <v>84</v>
      </c>
      <c r="I582" t="s">
        <v>85</v>
      </c>
      <c r="J582" t="s">
        <v>47</v>
      </c>
      <c r="K582" t="s">
        <v>37</v>
      </c>
      <c r="L582" t="s">
        <v>49</v>
      </c>
      <c r="M582">
        <v>24</v>
      </c>
      <c r="N582">
        <v>249.99</v>
      </c>
      <c r="O582">
        <v>5999.76</v>
      </c>
      <c r="P582">
        <v>0.08</v>
      </c>
      <c r="Q582">
        <v>479.98</v>
      </c>
      <c r="R582">
        <v>5519.78</v>
      </c>
      <c r="S582">
        <v>441.58</v>
      </c>
      <c r="T582">
        <v>5961.36</v>
      </c>
      <c r="U582" t="s">
        <v>39</v>
      </c>
    </row>
    <row r="583" spans="1:21" x14ac:dyDescent="0.35">
      <c r="A583" t="s">
        <v>697</v>
      </c>
      <c r="B583" s="1">
        <v>45258</v>
      </c>
      <c r="C583">
        <v>2023</v>
      </c>
      <c r="D583" t="s">
        <v>122</v>
      </c>
      <c r="E583" t="s">
        <v>123</v>
      </c>
      <c r="F583" t="s">
        <v>64</v>
      </c>
      <c r="G583" t="s">
        <v>124</v>
      </c>
      <c r="H583" t="s">
        <v>208</v>
      </c>
      <c r="I583" t="s">
        <v>209</v>
      </c>
      <c r="J583" t="s">
        <v>47</v>
      </c>
      <c r="K583" t="s">
        <v>29</v>
      </c>
      <c r="L583" t="s">
        <v>49</v>
      </c>
      <c r="M583">
        <v>11</v>
      </c>
      <c r="N583">
        <v>49.99</v>
      </c>
      <c r="O583">
        <v>549.89</v>
      </c>
      <c r="P583">
        <v>0.05</v>
      </c>
      <c r="Q583">
        <v>27.49</v>
      </c>
      <c r="R583">
        <v>522.4</v>
      </c>
      <c r="S583">
        <v>41.79</v>
      </c>
      <c r="T583">
        <v>564.19000000000005</v>
      </c>
      <c r="U583" t="s">
        <v>39</v>
      </c>
    </row>
    <row r="584" spans="1:21" x14ac:dyDescent="0.35">
      <c r="A584" t="s">
        <v>698</v>
      </c>
      <c r="B584" s="1">
        <v>45262</v>
      </c>
      <c r="C584">
        <v>2023</v>
      </c>
      <c r="D584" t="s">
        <v>107</v>
      </c>
      <c r="E584" t="s">
        <v>108</v>
      </c>
      <c r="F584" t="s">
        <v>35</v>
      </c>
      <c r="G584" t="s">
        <v>109</v>
      </c>
      <c r="H584" t="s">
        <v>145</v>
      </c>
      <c r="I584" t="s">
        <v>146</v>
      </c>
      <c r="J584" t="s">
        <v>47</v>
      </c>
      <c r="K584" t="s">
        <v>29</v>
      </c>
      <c r="L584" t="s">
        <v>73</v>
      </c>
      <c r="M584">
        <v>18</v>
      </c>
      <c r="N584">
        <v>129.99</v>
      </c>
      <c r="O584">
        <v>2339.8200000000002</v>
      </c>
      <c r="P584">
        <v>0.05</v>
      </c>
      <c r="Q584">
        <v>116.99</v>
      </c>
      <c r="R584">
        <v>2222.83</v>
      </c>
      <c r="S584">
        <v>177.83</v>
      </c>
      <c r="T584">
        <v>2400.66</v>
      </c>
      <c r="U584" t="s">
        <v>39</v>
      </c>
    </row>
    <row r="585" spans="1:21" x14ac:dyDescent="0.35">
      <c r="A585" t="s">
        <v>699</v>
      </c>
      <c r="B585" s="1">
        <v>45263</v>
      </c>
      <c r="C585">
        <v>2023</v>
      </c>
      <c r="D585" t="s">
        <v>22</v>
      </c>
      <c r="E585" t="s">
        <v>23</v>
      </c>
      <c r="F585" t="s">
        <v>24</v>
      </c>
      <c r="G585" t="s">
        <v>25</v>
      </c>
      <c r="H585" t="s">
        <v>94</v>
      </c>
      <c r="I585" t="s">
        <v>95</v>
      </c>
      <c r="J585" t="s">
        <v>56</v>
      </c>
      <c r="K585" t="s">
        <v>60</v>
      </c>
      <c r="L585" t="s">
        <v>73</v>
      </c>
      <c r="M585">
        <v>21</v>
      </c>
      <c r="N585">
        <v>349.99</v>
      </c>
      <c r="O585">
        <v>7349.79</v>
      </c>
      <c r="P585">
        <v>0.08</v>
      </c>
      <c r="Q585">
        <v>587.98</v>
      </c>
      <c r="R585">
        <v>6761.81</v>
      </c>
      <c r="S585">
        <v>540.94000000000005</v>
      </c>
      <c r="T585">
        <v>7302.75</v>
      </c>
      <c r="U585" t="s">
        <v>39</v>
      </c>
    </row>
    <row r="586" spans="1:21" x14ac:dyDescent="0.35">
      <c r="A586" t="s">
        <v>700</v>
      </c>
      <c r="B586" s="1">
        <v>45265</v>
      </c>
      <c r="C586">
        <v>2023</v>
      </c>
      <c r="D586" t="s">
        <v>51</v>
      </c>
      <c r="E586" t="s">
        <v>52</v>
      </c>
      <c r="F586" t="s">
        <v>24</v>
      </c>
      <c r="G586" t="s">
        <v>53</v>
      </c>
      <c r="H586" t="s">
        <v>208</v>
      </c>
      <c r="I586" t="s">
        <v>209</v>
      </c>
      <c r="J586" t="s">
        <v>47</v>
      </c>
      <c r="K586" t="s">
        <v>29</v>
      </c>
      <c r="L586" t="s">
        <v>69</v>
      </c>
      <c r="M586">
        <v>26</v>
      </c>
      <c r="N586">
        <v>49.99</v>
      </c>
      <c r="O586">
        <v>1299.74</v>
      </c>
      <c r="P586">
        <v>0.08</v>
      </c>
      <c r="Q586">
        <v>103.98</v>
      </c>
      <c r="R586">
        <v>1195.76</v>
      </c>
      <c r="S586">
        <v>95.66</v>
      </c>
      <c r="T586">
        <v>1291.42</v>
      </c>
      <c r="U586" t="s">
        <v>39</v>
      </c>
    </row>
    <row r="587" spans="1:21" x14ac:dyDescent="0.35">
      <c r="A587" t="s">
        <v>701</v>
      </c>
      <c r="B587" s="1">
        <v>45267</v>
      </c>
      <c r="C587">
        <v>2023</v>
      </c>
      <c r="D587" t="s">
        <v>81</v>
      </c>
      <c r="E587" t="s">
        <v>82</v>
      </c>
      <c r="F587" t="s">
        <v>35</v>
      </c>
      <c r="G587" t="s">
        <v>83</v>
      </c>
      <c r="H587" t="s">
        <v>145</v>
      </c>
      <c r="I587" t="s">
        <v>146</v>
      </c>
      <c r="J587" t="s">
        <v>47</v>
      </c>
      <c r="K587" t="s">
        <v>48</v>
      </c>
      <c r="L587" t="s">
        <v>38</v>
      </c>
      <c r="M587">
        <v>26</v>
      </c>
      <c r="N587">
        <v>129.99</v>
      </c>
      <c r="O587">
        <v>3379.74</v>
      </c>
      <c r="P587">
        <v>0.16</v>
      </c>
      <c r="Q587">
        <v>540.76</v>
      </c>
      <c r="R587">
        <v>2838.98</v>
      </c>
      <c r="S587">
        <v>227.12</v>
      </c>
      <c r="T587">
        <v>0</v>
      </c>
      <c r="U587" t="s">
        <v>31</v>
      </c>
    </row>
    <row r="588" spans="1:21" x14ac:dyDescent="0.35">
      <c r="A588" t="s">
        <v>702</v>
      </c>
      <c r="B588" s="1">
        <v>45267</v>
      </c>
      <c r="C588">
        <v>2023</v>
      </c>
      <c r="D588" t="s">
        <v>62</v>
      </c>
      <c r="E588" t="s">
        <v>63</v>
      </c>
      <c r="F588" t="s">
        <v>64</v>
      </c>
      <c r="G588" t="s">
        <v>65</v>
      </c>
      <c r="H588" t="s">
        <v>100</v>
      </c>
      <c r="I588" t="s">
        <v>101</v>
      </c>
      <c r="J588" t="s">
        <v>47</v>
      </c>
      <c r="K588" t="s">
        <v>37</v>
      </c>
      <c r="L588" t="s">
        <v>49</v>
      </c>
      <c r="M588">
        <v>12</v>
      </c>
      <c r="N588">
        <v>29.99</v>
      </c>
      <c r="O588">
        <v>359.88</v>
      </c>
      <c r="P588">
        <v>0.05</v>
      </c>
      <c r="Q588">
        <v>17.989999999999998</v>
      </c>
      <c r="R588">
        <v>341.89</v>
      </c>
      <c r="S588">
        <v>27.35</v>
      </c>
      <c r="T588">
        <v>369.24</v>
      </c>
      <c r="U588" t="s">
        <v>39</v>
      </c>
    </row>
    <row r="589" spans="1:21" x14ac:dyDescent="0.35">
      <c r="A589" t="s">
        <v>703</v>
      </c>
      <c r="B589" s="1">
        <v>45269</v>
      </c>
      <c r="C589">
        <v>2023</v>
      </c>
      <c r="D589" t="s">
        <v>91</v>
      </c>
      <c r="E589" t="s">
        <v>92</v>
      </c>
      <c r="F589" t="s">
        <v>24</v>
      </c>
      <c r="G589" t="s">
        <v>93</v>
      </c>
      <c r="H589" t="s">
        <v>84</v>
      </c>
      <c r="I589" t="s">
        <v>85</v>
      </c>
      <c r="J589" t="s">
        <v>47</v>
      </c>
      <c r="K589" t="s">
        <v>48</v>
      </c>
      <c r="L589" t="s">
        <v>69</v>
      </c>
      <c r="M589">
        <v>27</v>
      </c>
      <c r="N589">
        <v>249.99</v>
      </c>
      <c r="O589">
        <v>6749.73</v>
      </c>
      <c r="P589">
        <v>0.08</v>
      </c>
      <c r="Q589">
        <v>539.98</v>
      </c>
      <c r="R589">
        <v>6209.75</v>
      </c>
      <c r="S589">
        <v>496.78</v>
      </c>
      <c r="T589">
        <v>6706.53</v>
      </c>
      <c r="U589" t="s">
        <v>39</v>
      </c>
    </row>
    <row r="590" spans="1:21" x14ac:dyDescent="0.35">
      <c r="A590" t="s">
        <v>704</v>
      </c>
      <c r="B590" s="1">
        <v>45271</v>
      </c>
      <c r="C590">
        <v>2023</v>
      </c>
      <c r="D590" t="s">
        <v>107</v>
      </c>
      <c r="E590" t="s">
        <v>108</v>
      </c>
      <c r="F590" t="s">
        <v>35</v>
      </c>
      <c r="G590" t="s">
        <v>109</v>
      </c>
      <c r="H590" t="s">
        <v>104</v>
      </c>
      <c r="I590" t="s">
        <v>105</v>
      </c>
      <c r="J590" t="s">
        <v>47</v>
      </c>
      <c r="K590" t="s">
        <v>48</v>
      </c>
      <c r="L590" t="s">
        <v>49</v>
      </c>
      <c r="M590">
        <v>20</v>
      </c>
      <c r="N590">
        <v>479.99</v>
      </c>
      <c r="O590">
        <v>9599.7999999999993</v>
      </c>
      <c r="P590">
        <v>0.08</v>
      </c>
      <c r="Q590">
        <v>767.98</v>
      </c>
      <c r="R590">
        <v>8831.82</v>
      </c>
      <c r="S590">
        <v>706.55</v>
      </c>
      <c r="T590">
        <v>0</v>
      </c>
      <c r="U590" t="s">
        <v>31</v>
      </c>
    </row>
    <row r="591" spans="1:21" x14ac:dyDescent="0.35">
      <c r="A591" t="s">
        <v>705</v>
      </c>
      <c r="B591" s="1">
        <v>45281</v>
      </c>
      <c r="C591">
        <v>2023</v>
      </c>
      <c r="D591" t="s">
        <v>87</v>
      </c>
      <c r="E591" t="s">
        <v>88</v>
      </c>
      <c r="F591" t="s">
        <v>24</v>
      </c>
      <c r="G591" t="s">
        <v>89</v>
      </c>
      <c r="H591" t="s">
        <v>125</v>
      </c>
      <c r="I591" t="s">
        <v>126</v>
      </c>
      <c r="J591" t="s">
        <v>28</v>
      </c>
      <c r="K591" t="s">
        <v>68</v>
      </c>
      <c r="L591" t="s">
        <v>73</v>
      </c>
      <c r="M591">
        <v>29</v>
      </c>
      <c r="N591">
        <v>79.989999999999995</v>
      </c>
      <c r="O591">
        <v>2319.71</v>
      </c>
      <c r="P591">
        <v>0.08</v>
      </c>
      <c r="Q591">
        <v>185.58</v>
      </c>
      <c r="R591">
        <v>2134.13</v>
      </c>
      <c r="S591">
        <v>170.73</v>
      </c>
      <c r="T591">
        <v>2304.86</v>
      </c>
      <c r="U591" t="s">
        <v>39</v>
      </c>
    </row>
    <row r="592" spans="1:21" x14ac:dyDescent="0.35">
      <c r="A592" t="s">
        <v>706</v>
      </c>
      <c r="B592" s="1">
        <v>45282</v>
      </c>
      <c r="C592">
        <v>2023</v>
      </c>
      <c r="D592" t="s">
        <v>142</v>
      </c>
      <c r="E592" t="s">
        <v>143</v>
      </c>
      <c r="F592" t="s">
        <v>43</v>
      </c>
      <c r="G592" t="s">
        <v>144</v>
      </c>
      <c r="H592" t="s">
        <v>100</v>
      </c>
      <c r="I592" t="s">
        <v>101</v>
      </c>
      <c r="J592" t="s">
        <v>47</v>
      </c>
      <c r="K592" t="s">
        <v>37</v>
      </c>
      <c r="L592" t="s">
        <v>69</v>
      </c>
      <c r="M592">
        <v>12</v>
      </c>
      <c r="N592">
        <v>29.99</v>
      </c>
      <c r="O592">
        <v>359.88</v>
      </c>
      <c r="P592">
        <v>0.05</v>
      </c>
      <c r="Q592">
        <v>17.989999999999998</v>
      </c>
      <c r="R592">
        <v>341.89</v>
      </c>
      <c r="S592">
        <v>27.35</v>
      </c>
      <c r="T592">
        <v>369.24</v>
      </c>
      <c r="U592" t="s">
        <v>39</v>
      </c>
    </row>
    <row r="593" spans="1:21" x14ac:dyDescent="0.35">
      <c r="A593" t="s">
        <v>707</v>
      </c>
      <c r="B593" s="1">
        <v>45282</v>
      </c>
      <c r="C593">
        <v>2023</v>
      </c>
      <c r="D593" t="s">
        <v>122</v>
      </c>
      <c r="E593" t="s">
        <v>123</v>
      </c>
      <c r="F593" t="s">
        <v>64</v>
      </c>
      <c r="G593" t="s">
        <v>124</v>
      </c>
      <c r="H593" t="s">
        <v>145</v>
      </c>
      <c r="I593" t="s">
        <v>146</v>
      </c>
      <c r="J593" t="s">
        <v>47</v>
      </c>
      <c r="K593" t="s">
        <v>29</v>
      </c>
      <c r="L593" t="s">
        <v>38</v>
      </c>
      <c r="M593">
        <v>18</v>
      </c>
      <c r="N593">
        <v>129.99</v>
      </c>
      <c r="O593">
        <v>2339.8200000000002</v>
      </c>
      <c r="P593">
        <v>0.13</v>
      </c>
      <c r="Q593">
        <v>304.18</v>
      </c>
      <c r="R593">
        <v>2035.64</v>
      </c>
      <c r="S593">
        <v>162.85</v>
      </c>
      <c r="T593">
        <v>2198.4899999999998</v>
      </c>
      <c r="U593" t="s">
        <v>111</v>
      </c>
    </row>
    <row r="594" spans="1:21" x14ac:dyDescent="0.35">
      <c r="A594" t="s">
        <v>708</v>
      </c>
      <c r="B594" s="1">
        <v>45284</v>
      </c>
      <c r="C594">
        <v>2023</v>
      </c>
      <c r="D594" t="s">
        <v>148</v>
      </c>
      <c r="E594" t="s">
        <v>149</v>
      </c>
      <c r="F594" t="s">
        <v>43</v>
      </c>
      <c r="G594" t="s">
        <v>150</v>
      </c>
      <c r="H594" t="s">
        <v>71</v>
      </c>
      <c r="I594" t="s">
        <v>72</v>
      </c>
      <c r="J594" t="s">
        <v>47</v>
      </c>
      <c r="K594" t="s">
        <v>68</v>
      </c>
      <c r="L594" t="s">
        <v>38</v>
      </c>
      <c r="M594">
        <v>22</v>
      </c>
      <c r="N594">
        <v>1199.99</v>
      </c>
      <c r="O594">
        <v>26399.78</v>
      </c>
      <c r="P594">
        <v>0.16</v>
      </c>
      <c r="Q594">
        <v>4223.96</v>
      </c>
      <c r="R594">
        <v>22175.82</v>
      </c>
      <c r="S594">
        <v>1774.07</v>
      </c>
      <c r="T594">
        <v>23949.89</v>
      </c>
      <c r="U594" t="s">
        <v>111</v>
      </c>
    </row>
    <row r="595" spans="1:21" x14ac:dyDescent="0.35">
      <c r="A595" t="s">
        <v>709</v>
      </c>
      <c r="B595" s="1">
        <v>45287</v>
      </c>
      <c r="C595">
        <v>2023</v>
      </c>
      <c r="D595" t="s">
        <v>33</v>
      </c>
      <c r="E595" t="s">
        <v>34</v>
      </c>
      <c r="F595" t="s">
        <v>35</v>
      </c>
      <c r="G595" t="s">
        <v>36</v>
      </c>
      <c r="H595" t="s">
        <v>78</v>
      </c>
      <c r="I595" t="s">
        <v>79</v>
      </c>
      <c r="J595" t="s">
        <v>28</v>
      </c>
      <c r="K595" t="s">
        <v>60</v>
      </c>
      <c r="L595" t="s">
        <v>73</v>
      </c>
      <c r="M595">
        <v>20</v>
      </c>
      <c r="N595">
        <v>5.99</v>
      </c>
      <c r="O595">
        <v>119.8</v>
      </c>
      <c r="P595">
        <v>0.08</v>
      </c>
      <c r="Q595">
        <v>9.58</v>
      </c>
      <c r="R595">
        <v>110.22</v>
      </c>
      <c r="S595">
        <v>8.82</v>
      </c>
      <c r="T595">
        <v>119.04</v>
      </c>
      <c r="U595" t="s">
        <v>111</v>
      </c>
    </row>
    <row r="596" spans="1:21" x14ac:dyDescent="0.35">
      <c r="A596" t="s">
        <v>710</v>
      </c>
      <c r="B596" s="1">
        <v>45287</v>
      </c>
      <c r="C596">
        <v>2023</v>
      </c>
      <c r="D596" t="s">
        <v>122</v>
      </c>
      <c r="E596" t="s">
        <v>123</v>
      </c>
      <c r="F596" t="s">
        <v>64</v>
      </c>
      <c r="G596" t="s">
        <v>124</v>
      </c>
      <c r="H596" t="s">
        <v>145</v>
      </c>
      <c r="I596" t="s">
        <v>146</v>
      </c>
      <c r="J596" t="s">
        <v>47</v>
      </c>
      <c r="K596" t="s">
        <v>68</v>
      </c>
      <c r="L596" t="s">
        <v>73</v>
      </c>
      <c r="M596">
        <v>9</v>
      </c>
      <c r="N596">
        <v>129.99</v>
      </c>
      <c r="O596">
        <v>1169.9100000000001</v>
      </c>
      <c r="P596">
        <v>0</v>
      </c>
      <c r="Q596">
        <v>0</v>
      </c>
      <c r="R596">
        <v>1169.9100000000001</v>
      </c>
      <c r="S596">
        <v>93.59</v>
      </c>
      <c r="T596">
        <v>1263.5</v>
      </c>
      <c r="U596" t="s">
        <v>39</v>
      </c>
    </row>
    <row r="597" spans="1:21" x14ac:dyDescent="0.35">
      <c r="A597" t="s">
        <v>711</v>
      </c>
      <c r="B597" s="1">
        <v>45287</v>
      </c>
      <c r="C597">
        <v>2023</v>
      </c>
      <c r="D597" t="s">
        <v>81</v>
      </c>
      <c r="E597" t="s">
        <v>82</v>
      </c>
      <c r="F597" t="s">
        <v>35</v>
      </c>
      <c r="G597" t="s">
        <v>83</v>
      </c>
      <c r="H597" t="s">
        <v>78</v>
      </c>
      <c r="I597" t="s">
        <v>79</v>
      </c>
      <c r="J597" t="s">
        <v>28</v>
      </c>
      <c r="K597" t="s">
        <v>29</v>
      </c>
      <c r="L597" t="s">
        <v>38</v>
      </c>
      <c r="M597">
        <v>3</v>
      </c>
      <c r="N597">
        <v>5.99</v>
      </c>
      <c r="O597">
        <v>17.97</v>
      </c>
      <c r="P597">
        <v>0.08</v>
      </c>
      <c r="Q597">
        <v>1.44</v>
      </c>
      <c r="R597">
        <v>16.53</v>
      </c>
      <c r="S597">
        <v>1.32</v>
      </c>
      <c r="T597">
        <v>17.850000000000001</v>
      </c>
      <c r="U597" t="s">
        <v>111</v>
      </c>
    </row>
    <row r="598" spans="1:21" x14ac:dyDescent="0.35">
      <c r="A598" t="s">
        <v>712</v>
      </c>
      <c r="B598" s="1">
        <v>45289</v>
      </c>
      <c r="C598">
        <v>2023</v>
      </c>
      <c r="D598" t="s">
        <v>91</v>
      </c>
      <c r="E598" t="s">
        <v>92</v>
      </c>
      <c r="F598" t="s">
        <v>24</v>
      </c>
      <c r="G598" t="s">
        <v>93</v>
      </c>
      <c r="H598" t="s">
        <v>45</v>
      </c>
      <c r="I598" t="s">
        <v>46</v>
      </c>
      <c r="J598" t="s">
        <v>47</v>
      </c>
      <c r="K598" t="s">
        <v>37</v>
      </c>
      <c r="L598" t="s">
        <v>73</v>
      </c>
      <c r="M598">
        <v>1</v>
      </c>
      <c r="N598">
        <v>89.99</v>
      </c>
      <c r="O598">
        <v>89.99</v>
      </c>
      <c r="P598">
        <v>0</v>
      </c>
      <c r="Q598">
        <v>0</v>
      </c>
      <c r="R598">
        <v>89.99</v>
      </c>
      <c r="S598">
        <v>7.2</v>
      </c>
      <c r="T598">
        <v>97.19</v>
      </c>
      <c r="U598" t="s">
        <v>39</v>
      </c>
    </row>
    <row r="599" spans="1:21" x14ac:dyDescent="0.35">
      <c r="A599" t="s">
        <v>713</v>
      </c>
      <c r="B599" s="1">
        <v>45291</v>
      </c>
      <c r="C599">
        <v>2023</v>
      </c>
      <c r="D599" t="s">
        <v>33</v>
      </c>
      <c r="E599" t="s">
        <v>34</v>
      </c>
      <c r="F599" t="s">
        <v>35</v>
      </c>
      <c r="G599" t="s">
        <v>36</v>
      </c>
      <c r="H599" t="s">
        <v>78</v>
      </c>
      <c r="I599" t="s">
        <v>79</v>
      </c>
      <c r="J599" t="s">
        <v>28</v>
      </c>
      <c r="K599" t="s">
        <v>68</v>
      </c>
      <c r="L599" t="s">
        <v>49</v>
      </c>
      <c r="M599">
        <v>13</v>
      </c>
      <c r="N599">
        <v>5.99</v>
      </c>
      <c r="O599">
        <v>77.87</v>
      </c>
      <c r="P599">
        <v>0.05</v>
      </c>
      <c r="Q599">
        <v>3.89</v>
      </c>
      <c r="R599">
        <v>73.98</v>
      </c>
      <c r="S599">
        <v>5.92</v>
      </c>
      <c r="T599">
        <v>79.900000000000006</v>
      </c>
      <c r="U599" t="s">
        <v>39</v>
      </c>
    </row>
    <row r="600" spans="1:21" x14ac:dyDescent="0.35">
      <c r="A600" t="s">
        <v>714</v>
      </c>
      <c r="B600" s="1">
        <v>45291</v>
      </c>
      <c r="C600">
        <v>2023</v>
      </c>
      <c r="D600" t="s">
        <v>148</v>
      </c>
      <c r="E600" t="s">
        <v>149</v>
      </c>
      <c r="F600" t="s">
        <v>43</v>
      </c>
      <c r="G600" t="s">
        <v>150</v>
      </c>
      <c r="H600" t="s">
        <v>58</v>
      </c>
      <c r="I600" t="s">
        <v>59</v>
      </c>
      <c r="J600" t="s">
        <v>56</v>
      </c>
      <c r="K600" t="s">
        <v>29</v>
      </c>
      <c r="L600" t="s">
        <v>73</v>
      </c>
      <c r="M600">
        <v>5</v>
      </c>
      <c r="N600">
        <v>599.99</v>
      </c>
      <c r="O600">
        <v>2999.95</v>
      </c>
      <c r="P600">
        <v>0</v>
      </c>
      <c r="Q600">
        <v>0</v>
      </c>
      <c r="R600">
        <v>2999.95</v>
      </c>
      <c r="S600">
        <v>240</v>
      </c>
      <c r="T600">
        <v>3239.95</v>
      </c>
      <c r="U600" t="s">
        <v>39</v>
      </c>
    </row>
    <row r="601" spans="1:21" x14ac:dyDescent="0.35">
      <c r="A601" t="s">
        <v>715</v>
      </c>
      <c r="B601" s="1">
        <v>45291</v>
      </c>
      <c r="C601">
        <v>2023</v>
      </c>
      <c r="D601" t="s">
        <v>91</v>
      </c>
      <c r="E601" t="s">
        <v>92</v>
      </c>
      <c r="F601" t="s">
        <v>24</v>
      </c>
      <c r="G601" t="s">
        <v>93</v>
      </c>
      <c r="H601" t="s">
        <v>125</v>
      </c>
      <c r="I601" t="s">
        <v>126</v>
      </c>
      <c r="J601" t="s">
        <v>28</v>
      </c>
      <c r="K601" t="s">
        <v>60</v>
      </c>
      <c r="L601" t="s">
        <v>30</v>
      </c>
      <c r="M601">
        <v>21</v>
      </c>
      <c r="N601">
        <v>79.989999999999995</v>
      </c>
      <c r="O601">
        <v>1679.79</v>
      </c>
      <c r="P601">
        <v>0.08</v>
      </c>
      <c r="Q601">
        <v>134.38</v>
      </c>
      <c r="R601">
        <v>1545.41</v>
      </c>
      <c r="S601">
        <v>123.63</v>
      </c>
      <c r="T601">
        <v>1669.04</v>
      </c>
      <c r="U601" t="s">
        <v>39</v>
      </c>
    </row>
    <row r="602" spans="1:21" x14ac:dyDescent="0.35">
      <c r="A602" t="s">
        <v>716</v>
      </c>
      <c r="B602" s="1">
        <v>45292</v>
      </c>
      <c r="C602">
        <v>2024</v>
      </c>
      <c r="D602" t="s">
        <v>186</v>
      </c>
      <c r="E602" t="s">
        <v>187</v>
      </c>
      <c r="F602" t="s">
        <v>43</v>
      </c>
      <c r="G602" t="s">
        <v>188</v>
      </c>
      <c r="H602" t="s">
        <v>94</v>
      </c>
      <c r="I602" t="s">
        <v>95</v>
      </c>
      <c r="J602" t="s">
        <v>56</v>
      </c>
      <c r="K602" t="s">
        <v>29</v>
      </c>
      <c r="L602" t="s">
        <v>69</v>
      </c>
      <c r="M602">
        <v>16</v>
      </c>
      <c r="N602">
        <v>349.99</v>
      </c>
      <c r="O602">
        <v>5599.84</v>
      </c>
      <c r="P602">
        <v>0.05</v>
      </c>
      <c r="Q602">
        <v>279.99</v>
      </c>
      <c r="R602">
        <v>5319.85</v>
      </c>
      <c r="S602">
        <v>425.59</v>
      </c>
      <c r="T602">
        <v>0</v>
      </c>
      <c r="U602" t="s">
        <v>31</v>
      </c>
    </row>
    <row r="603" spans="1:21" x14ac:dyDescent="0.35">
      <c r="A603" t="s">
        <v>717</v>
      </c>
      <c r="B603" s="1">
        <v>45294</v>
      </c>
      <c r="C603">
        <v>2024</v>
      </c>
      <c r="D603" t="s">
        <v>97</v>
      </c>
      <c r="E603" t="s">
        <v>98</v>
      </c>
      <c r="F603" t="s">
        <v>35</v>
      </c>
      <c r="G603" t="s">
        <v>99</v>
      </c>
      <c r="H603" t="s">
        <v>125</v>
      </c>
      <c r="I603" t="s">
        <v>126</v>
      </c>
      <c r="J603" t="s">
        <v>28</v>
      </c>
      <c r="K603" t="s">
        <v>48</v>
      </c>
      <c r="L603" t="s">
        <v>73</v>
      </c>
      <c r="M603">
        <v>22</v>
      </c>
      <c r="N603">
        <v>79.989999999999995</v>
      </c>
      <c r="O603">
        <v>1759.78</v>
      </c>
      <c r="P603">
        <v>0.08</v>
      </c>
      <c r="Q603">
        <v>140.78</v>
      </c>
      <c r="R603">
        <v>1619</v>
      </c>
      <c r="S603">
        <v>129.52000000000001</v>
      </c>
      <c r="T603">
        <v>1748.52</v>
      </c>
      <c r="U603" t="s">
        <v>39</v>
      </c>
    </row>
    <row r="604" spans="1:21" x14ac:dyDescent="0.35">
      <c r="A604" t="s">
        <v>718</v>
      </c>
      <c r="B604" s="1">
        <v>45295</v>
      </c>
      <c r="C604">
        <v>2024</v>
      </c>
      <c r="D604" t="s">
        <v>41</v>
      </c>
      <c r="E604" t="s">
        <v>42</v>
      </c>
      <c r="F604" t="s">
        <v>43</v>
      </c>
      <c r="G604" t="s">
        <v>44</v>
      </c>
      <c r="H604" t="s">
        <v>45</v>
      </c>
      <c r="I604" t="s">
        <v>46</v>
      </c>
      <c r="J604" t="s">
        <v>47</v>
      </c>
      <c r="K604" t="s">
        <v>29</v>
      </c>
      <c r="L604" t="s">
        <v>30</v>
      </c>
      <c r="M604">
        <v>5</v>
      </c>
      <c r="N604">
        <v>89.99</v>
      </c>
      <c r="O604">
        <v>449.95</v>
      </c>
      <c r="P604">
        <v>0</v>
      </c>
      <c r="Q604">
        <v>0</v>
      </c>
      <c r="R604">
        <v>449.95</v>
      </c>
      <c r="S604">
        <v>36</v>
      </c>
      <c r="T604">
        <v>485.95</v>
      </c>
      <c r="U604" t="s">
        <v>39</v>
      </c>
    </row>
    <row r="605" spans="1:21" x14ac:dyDescent="0.35">
      <c r="A605" t="s">
        <v>719</v>
      </c>
      <c r="B605" s="1">
        <v>45296</v>
      </c>
      <c r="C605">
        <v>2024</v>
      </c>
      <c r="D605" t="s">
        <v>41</v>
      </c>
      <c r="E605" t="s">
        <v>42</v>
      </c>
      <c r="F605" t="s">
        <v>43</v>
      </c>
      <c r="G605" t="s">
        <v>44</v>
      </c>
      <c r="H605" t="s">
        <v>71</v>
      </c>
      <c r="I605" t="s">
        <v>72</v>
      </c>
      <c r="J605" t="s">
        <v>47</v>
      </c>
      <c r="K605" t="s">
        <v>29</v>
      </c>
      <c r="L605" t="s">
        <v>73</v>
      </c>
      <c r="M605">
        <v>26</v>
      </c>
      <c r="N605">
        <v>1199.99</v>
      </c>
      <c r="O605">
        <v>31199.74</v>
      </c>
      <c r="P605">
        <v>0.08</v>
      </c>
      <c r="Q605">
        <v>2495.98</v>
      </c>
      <c r="R605">
        <v>28703.759999999998</v>
      </c>
      <c r="S605">
        <v>2296.3000000000002</v>
      </c>
      <c r="T605">
        <v>0</v>
      </c>
      <c r="U605" t="s">
        <v>31</v>
      </c>
    </row>
    <row r="606" spans="1:21" x14ac:dyDescent="0.35">
      <c r="A606" t="s">
        <v>720</v>
      </c>
      <c r="B606" s="1">
        <v>45298</v>
      </c>
      <c r="C606">
        <v>2024</v>
      </c>
      <c r="D606" t="s">
        <v>97</v>
      </c>
      <c r="E606" t="s">
        <v>98</v>
      </c>
      <c r="F606" t="s">
        <v>35</v>
      </c>
      <c r="G606" t="s">
        <v>99</v>
      </c>
      <c r="H606" t="s">
        <v>54</v>
      </c>
      <c r="I606" t="s">
        <v>55</v>
      </c>
      <c r="J606" t="s">
        <v>56</v>
      </c>
      <c r="K606" t="s">
        <v>37</v>
      </c>
      <c r="L606" t="s">
        <v>30</v>
      </c>
      <c r="M606">
        <v>30</v>
      </c>
      <c r="N606">
        <v>39.99</v>
      </c>
      <c r="O606">
        <v>1199.7</v>
      </c>
      <c r="P606">
        <v>0.08</v>
      </c>
      <c r="Q606">
        <v>95.98</v>
      </c>
      <c r="R606">
        <v>1103.72</v>
      </c>
      <c r="S606">
        <v>88.3</v>
      </c>
      <c r="T606">
        <v>1192.02</v>
      </c>
      <c r="U606" t="s">
        <v>39</v>
      </c>
    </row>
    <row r="607" spans="1:21" x14ac:dyDescent="0.35">
      <c r="A607" t="s">
        <v>721</v>
      </c>
      <c r="B607" s="1">
        <v>45298</v>
      </c>
      <c r="C607">
        <v>2024</v>
      </c>
      <c r="D607" t="s">
        <v>107</v>
      </c>
      <c r="E607" t="s">
        <v>108</v>
      </c>
      <c r="F607" t="s">
        <v>35</v>
      </c>
      <c r="G607" t="s">
        <v>109</v>
      </c>
      <c r="H607" t="s">
        <v>78</v>
      </c>
      <c r="I607" t="s">
        <v>79</v>
      </c>
      <c r="J607" t="s">
        <v>28</v>
      </c>
      <c r="K607" t="s">
        <v>60</v>
      </c>
      <c r="L607" t="s">
        <v>49</v>
      </c>
      <c r="M607">
        <v>1</v>
      </c>
      <c r="N607">
        <v>5.99</v>
      </c>
      <c r="O607">
        <v>5.99</v>
      </c>
      <c r="P607">
        <v>0</v>
      </c>
      <c r="Q607">
        <v>0</v>
      </c>
      <c r="R607">
        <v>5.99</v>
      </c>
      <c r="S607">
        <v>0.48</v>
      </c>
      <c r="T607">
        <v>6.47</v>
      </c>
      <c r="U607" t="s">
        <v>39</v>
      </c>
    </row>
    <row r="608" spans="1:21" x14ac:dyDescent="0.35">
      <c r="A608" t="s">
        <v>722</v>
      </c>
      <c r="B608" s="1">
        <v>45298</v>
      </c>
      <c r="C608">
        <v>2024</v>
      </c>
      <c r="D608" t="s">
        <v>91</v>
      </c>
      <c r="E608" t="s">
        <v>92</v>
      </c>
      <c r="F608" t="s">
        <v>24</v>
      </c>
      <c r="G608" t="s">
        <v>93</v>
      </c>
      <c r="H608" t="s">
        <v>128</v>
      </c>
      <c r="I608" t="s">
        <v>129</v>
      </c>
      <c r="J608" t="s">
        <v>47</v>
      </c>
      <c r="K608" t="s">
        <v>68</v>
      </c>
      <c r="L608" t="s">
        <v>49</v>
      </c>
      <c r="M608">
        <v>11</v>
      </c>
      <c r="N608">
        <v>399.99</v>
      </c>
      <c r="O608">
        <v>4399.8900000000003</v>
      </c>
      <c r="P608">
        <v>0.05</v>
      </c>
      <c r="Q608">
        <v>219.99</v>
      </c>
      <c r="R608">
        <v>4179.8999999999996</v>
      </c>
      <c r="S608">
        <v>334.39</v>
      </c>
      <c r="T608">
        <v>4514.29</v>
      </c>
      <c r="U608" t="s">
        <v>111</v>
      </c>
    </row>
    <row r="609" spans="1:21" x14ac:dyDescent="0.35">
      <c r="A609" t="s">
        <v>723</v>
      </c>
      <c r="B609" s="1">
        <v>45299</v>
      </c>
      <c r="C609">
        <v>2024</v>
      </c>
      <c r="D609" t="s">
        <v>91</v>
      </c>
      <c r="E609" t="s">
        <v>92</v>
      </c>
      <c r="F609" t="s">
        <v>24</v>
      </c>
      <c r="G609" t="s">
        <v>93</v>
      </c>
      <c r="H609" t="s">
        <v>71</v>
      </c>
      <c r="I609" t="s">
        <v>72</v>
      </c>
      <c r="J609" t="s">
        <v>47</v>
      </c>
      <c r="K609" t="s">
        <v>48</v>
      </c>
      <c r="L609" t="s">
        <v>73</v>
      </c>
      <c r="M609">
        <v>12</v>
      </c>
      <c r="N609">
        <v>1199.99</v>
      </c>
      <c r="O609">
        <v>14399.88</v>
      </c>
      <c r="P609">
        <v>0.05</v>
      </c>
      <c r="Q609">
        <v>719.99</v>
      </c>
      <c r="R609">
        <v>13679.89</v>
      </c>
      <c r="S609">
        <v>1094.3900000000001</v>
      </c>
      <c r="T609">
        <v>14774.28</v>
      </c>
      <c r="U609" t="s">
        <v>111</v>
      </c>
    </row>
    <row r="610" spans="1:21" x14ac:dyDescent="0.35">
      <c r="A610" t="s">
        <v>724</v>
      </c>
      <c r="B610" s="1">
        <v>45302</v>
      </c>
      <c r="C610">
        <v>2024</v>
      </c>
      <c r="D610" t="s">
        <v>75</v>
      </c>
      <c r="E610" t="s">
        <v>76</v>
      </c>
      <c r="F610" t="s">
        <v>64</v>
      </c>
      <c r="G610" t="s">
        <v>77</v>
      </c>
      <c r="H610" t="s">
        <v>94</v>
      </c>
      <c r="I610" t="s">
        <v>95</v>
      </c>
      <c r="J610" t="s">
        <v>56</v>
      </c>
      <c r="K610" t="s">
        <v>60</v>
      </c>
      <c r="L610" t="s">
        <v>69</v>
      </c>
      <c r="M610">
        <v>10</v>
      </c>
      <c r="N610">
        <v>349.99</v>
      </c>
      <c r="O610">
        <v>3499.9</v>
      </c>
      <c r="P610">
        <v>0.05</v>
      </c>
      <c r="Q610">
        <v>175</v>
      </c>
      <c r="R610">
        <v>3324.9</v>
      </c>
      <c r="S610">
        <v>265.99</v>
      </c>
      <c r="T610">
        <v>3590.89</v>
      </c>
      <c r="U610" t="s">
        <v>39</v>
      </c>
    </row>
    <row r="611" spans="1:21" x14ac:dyDescent="0.35">
      <c r="A611" t="s">
        <v>725</v>
      </c>
      <c r="B611" s="1">
        <v>45303</v>
      </c>
      <c r="C611">
        <v>2024</v>
      </c>
      <c r="D611" t="s">
        <v>142</v>
      </c>
      <c r="E611" t="s">
        <v>143</v>
      </c>
      <c r="F611" t="s">
        <v>43</v>
      </c>
      <c r="G611" t="s">
        <v>144</v>
      </c>
      <c r="H611" t="s">
        <v>71</v>
      </c>
      <c r="I611" t="s">
        <v>72</v>
      </c>
      <c r="J611" t="s">
        <v>47</v>
      </c>
      <c r="K611" t="s">
        <v>29</v>
      </c>
      <c r="L611" t="s">
        <v>73</v>
      </c>
      <c r="M611">
        <v>24</v>
      </c>
      <c r="N611">
        <v>1199.99</v>
      </c>
      <c r="O611">
        <v>28799.759999999998</v>
      </c>
      <c r="P611">
        <v>0.08</v>
      </c>
      <c r="Q611">
        <v>2303.98</v>
      </c>
      <c r="R611">
        <v>26495.78</v>
      </c>
      <c r="S611">
        <v>2119.66</v>
      </c>
      <c r="T611">
        <v>28615.439999999999</v>
      </c>
      <c r="U611" t="s">
        <v>39</v>
      </c>
    </row>
    <row r="612" spans="1:21" x14ac:dyDescent="0.35">
      <c r="A612" t="s">
        <v>726</v>
      </c>
      <c r="B612" s="1">
        <v>45310</v>
      </c>
      <c r="C612">
        <v>2024</v>
      </c>
      <c r="D612" t="s">
        <v>62</v>
      </c>
      <c r="E612" t="s">
        <v>63</v>
      </c>
      <c r="F612" t="s">
        <v>64</v>
      </c>
      <c r="G612" t="s">
        <v>65</v>
      </c>
      <c r="H612" t="s">
        <v>78</v>
      </c>
      <c r="I612" t="s">
        <v>79</v>
      </c>
      <c r="J612" t="s">
        <v>28</v>
      </c>
      <c r="K612" t="s">
        <v>68</v>
      </c>
      <c r="L612" t="s">
        <v>69</v>
      </c>
      <c r="M612">
        <v>14</v>
      </c>
      <c r="N612">
        <v>5.99</v>
      </c>
      <c r="O612">
        <v>83.86</v>
      </c>
      <c r="P612">
        <v>0.05</v>
      </c>
      <c r="Q612">
        <v>4.1900000000000004</v>
      </c>
      <c r="R612">
        <v>79.67</v>
      </c>
      <c r="S612">
        <v>6.37</v>
      </c>
      <c r="T612">
        <v>86.04</v>
      </c>
      <c r="U612" t="s">
        <v>39</v>
      </c>
    </row>
    <row r="613" spans="1:21" x14ac:dyDescent="0.35">
      <c r="A613" t="s">
        <v>727</v>
      </c>
      <c r="B613" s="1">
        <v>45314</v>
      </c>
      <c r="C613">
        <v>2024</v>
      </c>
      <c r="D613" t="s">
        <v>97</v>
      </c>
      <c r="E613" t="s">
        <v>98</v>
      </c>
      <c r="F613" t="s">
        <v>35</v>
      </c>
      <c r="G613" t="s">
        <v>99</v>
      </c>
      <c r="H613" t="s">
        <v>208</v>
      </c>
      <c r="I613" t="s">
        <v>209</v>
      </c>
      <c r="J613" t="s">
        <v>47</v>
      </c>
      <c r="K613" t="s">
        <v>60</v>
      </c>
      <c r="L613" t="s">
        <v>49</v>
      </c>
      <c r="M613">
        <v>15</v>
      </c>
      <c r="N613">
        <v>49.99</v>
      </c>
      <c r="O613">
        <v>749.85</v>
      </c>
      <c r="P613">
        <v>0.05</v>
      </c>
      <c r="Q613">
        <v>37.49</v>
      </c>
      <c r="R613">
        <v>712.36</v>
      </c>
      <c r="S613">
        <v>56.99</v>
      </c>
      <c r="T613">
        <v>769.35</v>
      </c>
      <c r="U613" t="s">
        <v>39</v>
      </c>
    </row>
    <row r="614" spans="1:21" x14ac:dyDescent="0.35">
      <c r="A614" t="s">
        <v>728</v>
      </c>
      <c r="B614" s="1">
        <v>45316</v>
      </c>
      <c r="C614">
        <v>2024</v>
      </c>
      <c r="D614" t="s">
        <v>91</v>
      </c>
      <c r="E614" t="s">
        <v>92</v>
      </c>
      <c r="F614" t="s">
        <v>24</v>
      </c>
      <c r="G614" t="s">
        <v>93</v>
      </c>
      <c r="H614" t="s">
        <v>66</v>
      </c>
      <c r="I614" t="s">
        <v>67</v>
      </c>
      <c r="J614" t="s">
        <v>56</v>
      </c>
      <c r="K614" t="s">
        <v>60</v>
      </c>
      <c r="L614" t="s">
        <v>49</v>
      </c>
      <c r="M614">
        <v>20</v>
      </c>
      <c r="N614">
        <v>229.99</v>
      </c>
      <c r="O614">
        <v>4599.8</v>
      </c>
      <c r="P614">
        <v>0.08</v>
      </c>
      <c r="Q614">
        <v>367.98</v>
      </c>
      <c r="R614">
        <v>4231.82</v>
      </c>
      <c r="S614">
        <v>338.55</v>
      </c>
      <c r="T614">
        <v>0</v>
      </c>
      <c r="U614" t="s">
        <v>31</v>
      </c>
    </row>
    <row r="615" spans="1:21" x14ac:dyDescent="0.35">
      <c r="A615" t="s">
        <v>729</v>
      </c>
      <c r="B615" s="1">
        <v>45316</v>
      </c>
      <c r="C615">
        <v>2024</v>
      </c>
      <c r="D615" t="s">
        <v>87</v>
      </c>
      <c r="E615" t="s">
        <v>88</v>
      </c>
      <c r="F615" t="s">
        <v>24</v>
      </c>
      <c r="G615" t="s">
        <v>89</v>
      </c>
      <c r="H615" t="s">
        <v>45</v>
      </c>
      <c r="I615" t="s">
        <v>46</v>
      </c>
      <c r="J615" t="s">
        <v>47</v>
      </c>
      <c r="K615" t="s">
        <v>29</v>
      </c>
      <c r="L615" t="s">
        <v>38</v>
      </c>
      <c r="M615">
        <v>17</v>
      </c>
      <c r="N615">
        <v>89.99</v>
      </c>
      <c r="O615">
        <v>1529.83</v>
      </c>
      <c r="P615">
        <v>0.13</v>
      </c>
      <c r="Q615">
        <v>198.88</v>
      </c>
      <c r="R615">
        <v>1330.95</v>
      </c>
      <c r="S615">
        <v>106.48</v>
      </c>
      <c r="T615">
        <v>1437.43</v>
      </c>
      <c r="U615" t="s">
        <v>39</v>
      </c>
    </row>
    <row r="616" spans="1:21" x14ac:dyDescent="0.35">
      <c r="A616" t="s">
        <v>730</v>
      </c>
      <c r="B616" s="1">
        <v>45317</v>
      </c>
      <c r="C616">
        <v>2024</v>
      </c>
      <c r="D616" t="s">
        <v>62</v>
      </c>
      <c r="E616" t="s">
        <v>63</v>
      </c>
      <c r="F616" t="s">
        <v>64</v>
      </c>
      <c r="G616" t="s">
        <v>65</v>
      </c>
      <c r="H616" t="s">
        <v>58</v>
      </c>
      <c r="I616" t="s">
        <v>59</v>
      </c>
      <c r="J616" t="s">
        <v>56</v>
      </c>
      <c r="K616" t="s">
        <v>37</v>
      </c>
      <c r="L616" t="s">
        <v>49</v>
      </c>
      <c r="M616">
        <v>4</v>
      </c>
      <c r="N616">
        <v>599.99</v>
      </c>
      <c r="O616">
        <v>2399.96</v>
      </c>
      <c r="P616">
        <v>0</v>
      </c>
      <c r="Q616">
        <v>0</v>
      </c>
      <c r="R616">
        <v>2399.96</v>
      </c>
      <c r="S616">
        <v>192</v>
      </c>
      <c r="T616">
        <v>2591.96</v>
      </c>
      <c r="U616" t="s">
        <v>39</v>
      </c>
    </row>
    <row r="617" spans="1:21" x14ac:dyDescent="0.35">
      <c r="A617" t="s">
        <v>731</v>
      </c>
      <c r="B617" s="1">
        <v>45319</v>
      </c>
      <c r="C617">
        <v>2024</v>
      </c>
      <c r="D617" t="s">
        <v>33</v>
      </c>
      <c r="E617" t="s">
        <v>34</v>
      </c>
      <c r="F617" t="s">
        <v>35</v>
      </c>
      <c r="G617" t="s">
        <v>36</v>
      </c>
      <c r="H617" t="s">
        <v>54</v>
      </c>
      <c r="I617" t="s">
        <v>55</v>
      </c>
      <c r="J617" t="s">
        <v>56</v>
      </c>
      <c r="K617" t="s">
        <v>60</v>
      </c>
      <c r="L617" t="s">
        <v>30</v>
      </c>
      <c r="M617">
        <v>14</v>
      </c>
      <c r="N617">
        <v>39.99</v>
      </c>
      <c r="O617">
        <v>559.86</v>
      </c>
      <c r="P617">
        <v>0.05</v>
      </c>
      <c r="Q617">
        <v>27.99</v>
      </c>
      <c r="R617">
        <v>531.87</v>
      </c>
      <c r="S617">
        <v>42.55</v>
      </c>
      <c r="T617">
        <v>574.41999999999996</v>
      </c>
      <c r="U617" t="s">
        <v>39</v>
      </c>
    </row>
    <row r="618" spans="1:21" x14ac:dyDescent="0.35">
      <c r="A618" t="s">
        <v>732</v>
      </c>
      <c r="B618" s="1">
        <v>45320</v>
      </c>
      <c r="C618">
        <v>2024</v>
      </c>
      <c r="D618" t="s">
        <v>51</v>
      </c>
      <c r="E618" t="s">
        <v>52</v>
      </c>
      <c r="F618" t="s">
        <v>24</v>
      </c>
      <c r="G618" t="s">
        <v>53</v>
      </c>
      <c r="H618" t="s">
        <v>54</v>
      </c>
      <c r="I618" t="s">
        <v>55</v>
      </c>
      <c r="J618" t="s">
        <v>56</v>
      </c>
      <c r="K618" t="s">
        <v>29</v>
      </c>
      <c r="L618" t="s">
        <v>38</v>
      </c>
      <c r="M618">
        <v>3</v>
      </c>
      <c r="N618">
        <v>39.99</v>
      </c>
      <c r="O618">
        <v>119.97</v>
      </c>
      <c r="P618">
        <v>0.08</v>
      </c>
      <c r="Q618">
        <v>9.6</v>
      </c>
      <c r="R618">
        <v>110.37</v>
      </c>
      <c r="S618">
        <v>8.83</v>
      </c>
      <c r="T618">
        <v>119.2</v>
      </c>
      <c r="U618" t="s">
        <v>39</v>
      </c>
    </row>
    <row r="619" spans="1:21" x14ac:dyDescent="0.35">
      <c r="A619" t="s">
        <v>733</v>
      </c>
      <c r="B619" s="1">
        <v>45321</v>
      </c>
      <c r="C619">
        <v>2024</v>
      </c>
      <c r="D619" t="s">
        <v>142</v>
      </c>
      <c r="E619" t="s">
        <v>143</v>
      </c>
      <c r="F619" t="s">
        <v>43</v>
      </c>
      <c r="G619" t="s">
        <v>144</v>
      </c>
      <c r="H619" t="s">
        <v>58</v>
      </c>
      <c r="I619" t="s">
        <v>59</v>
      </c>
      <c r="J619" t="s">
        <v>56</v>
      </c>
      <c r="K619" t="s">
        <v>29</v>
      </c>
      <c r="L619" t="s">
        <v>30</v>
      </c>
      <c r="M619">
        <v>29</v>
      </c>
      <c r="N619">
        <v>599.99</v>
      </c>
      <c r="O619">
        <v>17399.71</v>
      </c>
      <c r="P619">
        <v>0.08</v>
      </c>
      <c r="Q619">
        <v>1391.98</v>
      </c>
      <c r="R619">
        <v>16007.73</v>
      </c>
      <c r="S619">
        <v>1280.6199999999999</v>
      </c>
      <c r="T619">
        <v>17288.349999999999</v>
      </c>
      <c r="U619" t="s">
        <v>39</v>
      </c>
    </row>
    <row r="620" spans="1:21" x14ac:dyDescent="0.35">
      <c r="A620" t="s">
        <v>734</v>
      </c>
      <c r="B620" s="1">
        <v>45322</v>
      </c>
      <c r="C620">
        <v>2024</v>
      </c>
      <c r="D620" t="s">
        <v>122</v>
      </c>
      <c r="E620" t="s">
        <v>123</v>
      </c>
      <c r="F620" t="s">
        <v>64</v>
      </c>
      <c r="G620" t="s">
        <v>124</v>
      </c>
      <c r="H620" t="s">
        <v>66</v>
      </c>
      <c r="I620" t="s">
        <v>67</v>
      </c>
      <c r="J620" t="s">
        <v>56</v>
      </c>
      <c r="K620" t="s">
        <v>29</v>
      </c>
      <c r="L620" t="s">
        <v>69</v>
      </c>
      <c r="M620">
        <v>23</v>
      </c>
      <c r="N620">
        <v>229.99</v>
      </c>
      <c r="O620">
        <v>5289.77</v>
      </c>
      <c r="P620">
        <v>0.08</v>
      </c>
      <c r="Q620">
        <v>423.18</v>
      </c>
      <c r="R620">
        <v>4866.59</v>
      </c>
      <c r="S620">
        <v>389.33</v>
      </c>
      <c r="T620">
        <v>5255.92</v>
      </c>
      <c r="U620" t="s">
        <v>39</v>
      </c>
    </row>
    <row r="621" spans="1:21" x14ac:dyDescent="0.35">
      <c r="A621" t="s">
        <v>735</v>
      </c>
      <c r="B621" s="1">
        <v>45323</v>
      </c>
      <c r="C621">
        <v>2024</v>
      </c>
      <c r="D621" t="s">
        <v>148</v>
      </c>
      <c r="E621" t="s">
        <v>149</v>
      </c>
      <c r="F621" t="s">
        <v>43</v>
      </c>
      <c r="G621" t="s">
        <v>150</v>
      </c>
      <c r="H621" t="s">
        <v>84</v>
      </c>
      <c r="I621" t="s">
        <v>85</v>
      </c>
      <c r="J621" t="s">
        <v>47</v>
      </c>
      <c r="K621" t="s">
        <v>60</v>
      </c>
      <c r="L621" t="s">
        <v>69</v>
      </c>
      <c r="M621">
        <v>19</v>
      </c>
      <c r="N621">
        <v>249.99</v>
      </c>
      <c r="O621">
        <v>4749.8100000000004</v>
      </c>
      <c r="P621">
        <v>0.05</v>
      </c>
      <c r="Q621">
        <v>237.49</v>
      </c>
      <c r="R621">
        <v>4512.32</v>
      </c>
      <c r="S621">
        <v>360.99</v>
      </c>
      <c r="T621">
        <v>0</v>
      </c>
      <c r="U621" t="s">
        <v>31</v>
      </c>
    </row>
    <row r="622" spans="1:21" x14ac:dyDescent="0.35">
      <c r="A622" t="s">
        <v>736</v>
      </c>
      <c r="B622" s="1">
        <v>45323</v>
      </c>
      <c r="C622">
        <v>2024</v>
      </c>
      <c r="D622" t="s">
        <v>87</v>
      </c>
      <c r="E622" t="s">
        <v>88</v>
      </c>
      <c r="F622" t="s">
        <v>24</v>
      </c>
      <c r="G622" t="s">
        <v>89</v>
      </c>
      <c r="H622" t="s">
        <v>66</v>
      </c>
      <c r="I622" t="s">
        <v>67</v>
      </c>
      <c r="J622" t="s">
        <v>56</v>
      </c>
      <c r="K622" t="s">
        <v>60</v>
      </c>
      <c r="L622" t="s">
        <v>30</v>
      </c>
      <c r="M622">
        <v>18</v>
      </c>
      <c r="N622">
        <v>229.99</v>
      </c>
      <c r="O622">
        <v>4139.82</v>
      </c>
      <c r="P622">
        <v>0.05</v>
      </c>
      <c r="Q622">
        <v>206.99</v>
      </c>
      <c r="R622">
        <v>3932.83</v>
      </c>
      <c r="S622">
        <v>314.63</v>
      </c>
      <c r="T622">
        <v>4247.46</v>
      </c>
      <c r="U622" t="s">
        <v>39</v>
      </c>
    </row>
    <row r="623" spans="1:21" x14ac:dyDescent="0.35">
      <c r="A623" t="s">
        <v>737</v>
      </c>
      <c r="B623" s="1">
        <v>45325</v>
      </c>
      <c r="C623">
        <v>2024</v>
      </c>
      <c r="D623" t="s">
        <v>186</v>
      </c>
      <c r="E623" t="s">
        <v>187</v>
      </c>
      <c r="F623" t="s">
        <v>43</v>
      </c>
      <c r="G623" t="s">
        <v>188</v>
      </c>
      <c r="H623" t="s">
        <v>100</v>
      </c>
      <c r="I623" t="s">
        <v>101</v>
      </c>
      <c r="J623" t="s">
        <v>47</v>
      </c>
      <c r="K623" t="s">
        <v>48</v>
      </c>
      <c r="L623" t="s">
        <v>49</v>
      </c>
      <c r="M623">
        <v>1</v>
      </c>
      <c r="N623">
        <v>29.99</v>
      </c>
      <c r="O623">
        <v>29.99</v>
      </c>
      <c r="P623">
        <v>0</v>
      </c>
      <c r="Q623">
        <v>0</v>
      </c>
      <c r="R623">
        <v>29.99</v>
      </c>
      <c r="S623">
        <v>2.4</v>
      </c>
      <c r="T623">
        <v>32.39</v>
      </c>
      <c r="U623" t="s">
        <v>39</v>
      </c>
    </row>
    <row r="624" spans="1:21" x14ac:dyDescent="0.35">
      <c r="A624" t="s">
        <v>738</v>
      </c>
      <c r="B624" s="1">
        <v>45338</v>
      </c>
      <c r="C624">
        <v>2024</v>
      </c>
      <c r="D624" t="s">
        <v>186</v>
      </c>
      <c r="E624" t="s">
        <v>187</v>
      </c>
      <c r="F624" t="s">
        <v>43</v>
      </c>
      <c r="G624" t="s">
        <v>188</v>
      </c>
      <c r="H624" t="s">
        <v>78</v>
      </c>
      <c r="I624" t="s">
        <v>79</v>
      </c>
      <c r="J624" t="s">
        <v>28</v>
      </c>
      <c r="K624" t="s">
        <v>68</v>
      </c>
      <c r="L624" t="s">
        <v>73</v>
      </c>
      <c r="M624">
        <v>5</v>
      </c>
      <c r="N624">
        <v>5.99</v>
      </c>
      <c r="O624">
        <v>29.95</v>
      </c>
      <c r="P624">
        <v>0</v>
      </c>
      <c r="Q624">
        <v>0</v>
      </c>
      <c r="R624">
        <v>29.95</v>
      </c>
      <c r="S624">
        <v>2.4</v>
      </c>
      <c r="T624">
        <v>32.35</v>
      </c>
      <c r="U624" t="s">
        <v>39</v>
      </c>
    </row>
    <row r="625" spans="1:21" x14ac:dyDescent="0.35">
      <c r="A625" t="s">
        <v>739</v>
      </c>
      <c r="B625" s="1">
        <v>45339</v>
      </c>
      <c r="C625">
        <v>2024</v>
      </c>
      <c r="D625" t="s">
        <v>41</v>
      </c>
      <c r="E625" t="s">
        <v>42</v>
      </c>
      <c r="F625" t="s">
        <v>43</v>
      </c>
      <c r="G625" t="s">
        <v>44</v>
      </c>
      <c r="H625" t="s">
        <v>145</v>
      </c>
      <c r="I625" t="s">
        <v>146</v>
      </c>
      <c r="J625" t="s">
        <v>47</v>
      </c>
      <c r="K625" t="s">
        <v>68</v>
      </c>
      <c r="L625" t="s">
        <v>73</v>
      </c>
      <c r="M625">
        <v>9</v>
      </c>
      <c r="N625">
        <v>129.99</v>
      </c>
      <c r="O625">
        <v>1169.9100000000001</v>
      </c>
      <c r="P625">
        <v>0</v>
      </c>
      <c r="Q625">
        <v>0</v>
      </c>
      <c r="R625">
        <v>1169.9100000000001</v>
      </c>
      <c r="S625">
        <v>93.59</v>
      </c>
      <c r="T625">
        <v>1263.5</v>
      </c>
      <c r="U625" t="s">
        <v>111</v>
      </c>
    </row>
    <row r="626" spans="1:21" x14ac:dyDescent="0.35">
      <c r="A626" t="s">
        <v>740</v>
      </c>
      <c r="B626" s="1">
        <v>45343</v>
      </c>
      <c r="C626">
        <v>2024</v>
      </c>
      <c r="D626" t="s">
        <v>22</v>
      </c>
      <c r="E626" t="s">
        <v>23</v>
      </c>
      <c r="F626" t="s">
        <v>24</v>
      </c>
      <c r="G626" t="s">
        <v>25</v>
      </c>
      <c r="H626" t="s">
        <v>100</v>
      </c>
      <c r="I626" t="s">
        <v>101</v>
      </c>
      <c r="J626" t="s">
        <v>47</v>
      </c>
      <c r="K626" t="s">
        <v>48</v>
      </c>
      <c r="L626" t="s">
        <v>69</v>
      </c>
      <c r="M626">
        <v>24</v>
      </c>
      <c r="N626">
        <v>29.99</v>
      </c>
      <c r="O626">
        <v>719.76</v>
      </c>
      <c r="P626">
        <v>0.08</v>
      </c>
      <c r="Q626">
        <v>57.58</v>
      </c>
      <c r="R626">
        <v>662.18</v>
      </c>
      <c r="S626">
        <v>52.97</v>
      </c>
      <c r="T626">
        <v>715.15</v>
      </c>
      <c r="U626" t="s">
        <v>111</v>
      </c>
    </row>
    <row r="627" spans="1:21" x14ac:dyDescent="0.35">
      <c r="A627" t="s">
        <v>741</v>
      </c>
      <c r="B627" s="1">
        <v>45344</v>
      </c>
      <c r="C627">
        <v>2024</v>
      </c>
      <c r="D627" t="s">
        <v>81</v>
      </c>
      <c r="E627" t="s">
        <v>82</v>
      </c>
      <c r="F627" t="s">
        <v>35</v>
      </c>
      <c r="G627" t="s">
        <v>83</v>
      </c>
      <c r="H627" t="s">
        <v>54</v>
      </c>
      <c r="I627" t="s">
        <v>55</v>
      </c>
      <c r="J627" t="s">
        <v>56</v>
      </c>
      <c r="K627" t="s">
        <v>48</v>
      </c>
      <c r="L627" t="s">
        <v>73</v>
      </c>
      <c r="M627">
        <v>15</v>
      </c>
      <c r="N627">
        <v>39.99</v>
      </c>
      <c r="O627">
        <v>599.85</v>
      </c>
      <c r="P627">
        <v>0.05</v>
      </c>
      <c r="Q627">
        <v>29.99</v>
      </c>
      <c r="R627">
        <v>569.86</v>
      </c>
      <c r="S627">
        <v>45.59</v>
      </c>
      <c r="T627">
        <v>615.45000000000005</v>
      </c>
      <c r="U627" t="s">
        <v>39</v>
      </c>
    </row>
    <row r="628" spans="1:21" x14ac:dyDescent="0.35">
      <c r="A628" t="s">
        <v>742</v>
      </c>
      <c r="B628" s="1">
        <v>45344</v>
      </c>
      <c r="C628">
        <v>2024</v>
      </c>
      <c r="D628" t="s">
        <v>51</v>
      </c>
      <c r="E628" t="s">
        <v>52</v>
      </c>
      <c r="F628" t="s">
        <v>24</v>
      </c>
      <c r="G628" t="s">
        <v>53</v>
      </c>
      <c r="H628" t="s">
        <v>128</v>
      </c>
      <c r="I628" t="s">
        <v>129</v>
      </c>
      <c r="J628" t="s">
        <v>47</v>
      </c>
      <c r="K628" t="s">
        <v>48</v>
      </c>
      <c r="L628" t="s">
        <v>30</v>
      </c>
      <c r="M628">
        <v>19</v>
      </c>
      <c r="N628">
        <v>399.99</v>
      </c>
      <c r="O628">
        <v>7599.81</v>
      </c>
      <c r="P628">
        <v>0.05</v>
      </c>
      <c r="Q628">
        <v>379.99</v>
      </c>
      <c r="R628">
        <v>7219.82</v>
      </c>
      <c r="S628">
        <v>577.59</v>
      </c>
      <c r="T628">
        <v>7797.41</v>
      </c>
      <c r="U628" t="s">
        <v>39</v>
      </c>
    </row>
    <row r="629" spans="1:21" x14ac:dyDescent="0.35">
      <c r="A629" t="s">
        <v>743</v>
      </c>
      <c r="B629" s="1">
        <v>45345</v>
      </c>
      <c r="C629">
        <v>2024</v>
      </c>
      <c r="D629" t="s">
        <v>22</v>
      </c>
      <c r="E629" t="s">
        <v>23</v>
      </c>
      <c r="F629" t="s">
        <v>24</v>
      </c>
      <c r="G629" t="s">
        <v>25</v>
      </c>
      <c r="H629" t="s">
        <v>125</v>
      </c>
      <c r="I629" t="s">
        <v>126</v>
      </c>
      <c r="J629" t="s">
        <v>28</v>
      </c>
      <c r="K629" t="s">
        <v>48</v>
      </c>
      <c r="L629" t="s">
        <v>73</v>
      </c>
      <c r="M629">
        <v>19</v>
      </c>
      <c r="N629">
        <v>79.989999999999995</v>
      </c>
      <c r="O629">
        <v>1519.81</v>
      </c>
      <c r="P629">
        <v>0.05</v>
      </c>
      <c r="Q629">
        <v>75.989999999999995</v>
      </c>
      <c r="R629">
        <v>1443.82</v>
      </c>
      <c r="S629">
        <v>115.51</v>
      </c>
      <c r="T629">
        <v>1559.33</v>
      </c>
      <c r="U629" t="s">
        <v>111</v>
      </c>
    </row>
    <row r="630" spans="1:21" x14ac:dyDescent="0.35">
      <c r="A630" t="s">
        <v>744</v>
      </c>
      <c r="B630" s="1">
        <v>45347</v>
      </c>
      <c r="C630">
        <v>2024</v>
      </c>
      <c r="D630" t="s">
        <v>81</v>
      </c>
      <c r="E630" t="s">
        <v>82</v>
      </c>
      <c r="F630" t="s">
        <v>35</v>
      </c>
      <c r="G630" t="s">
        <v>83</v>
      </c>
      <c r="H630" t="s">
        <v>94</v>
      </c>
      <c r="I630" t="s">
        <v>95</v>
      </c>
      <c r="J630" t="s">
        <v>56</v>
      </c>
      <c r="K630" t="s">
        <v>68</v>
      </c>
      <c r="L630" t="s">
        <v>49</v>
      </c>
      <c r="M630">
        <v>26</v>
      </c>
      <c r="N630">
        <v>349.99</v>
      </c>
      <c r="O630">
        <v>9099.74</v>
      </c>
      <c r="P630">
        <v>0.08</v>
      </c>
      <c r="Q630">
        <v>727.98</v>
      </c>
      <c r="R630">
        <v>8371.76</v>
      </c>
      <c r="S630">
        <v>669.74</v>
      </c>
      <c r="T630">
        <v>9041.5</v>
      </c>
      <c r="U630" t="s">
        <v>39</v>
      </c>
    </row>
    <row r="631" spans="1:21" x14ac:dyDescent="0.35">
      <c r="A631" t="s">
        <v>745</v>
      </c>
      <c r="B631" s="1">
        <v>45350</v>
      </c>
      <c r="C631">
        <v>2024</v>
      </c>
      <c r="D631" t="s">
        <v>51</v>
      </c>
      <c r="E631" t="s">
        <v>52</v>
      </c>
      <c r="F631" t="s">
        <v>24</v>
      </c>
      <c r="G631" t="s">
        <v>53</v>
      </c>
      <c r="H631" t="s">
        <v>45</v>
      </c>
      <c r="I631" t="s">
        <v>46</v>
      </c>
      <c r="J631" t="s">
        <v>47</v>
      </c>
      <c r="K631" t="s">
        <v>68</v>
      </c>
      <c r="L631" t="s">
        <v>49</v>
      </c>
      <c r="M631">
        <v>6</v>
      </c>
      <c r="N631">
        <v>89.99</v>
      </c>
      <c r="O631">
        <v>539.94000000000005</v>
      </c>
      <c r="P631">
        <v>0</v>
      </c>
      <c r="Q631">
        <v>0</v>
      </c>
      <c r="R631">
        <v>539.94000000000005</v>
      </c>
      <c r="S631">
        <v>43.2</v>
      </c>
      <c r="T631">
        <v>583.14</v>
      </c>
      <c r="U631" t="s">
        <v>39</v>
      </c>
    </row>
    <row r="632" spans="1:21" x14ac:dyDescent="0.35">
      <c r="A632" t="s">
        <v>746</v>
      </c>
      <c r="B632" s="1">
        <v>45351</v>
      </c>
      <c r="C632">
        <v>2024</v>
      </c>
      <c r="D632" t="s">
        <v>91</v>
      </c>
      <c r="E632" t="s">
        <v>92</v>
      </c>
      <c r="F632" t="s">
        <v>24</v>
      </c>
      <c r="G632" t="s">
        <v>93</v>
      </c>
      <c r="H632" t="s">
        <v>45</v>
      </c>
      <c r="I632" t="s">
        <v>46</v>
      </c>
      <c r="J632" t="s">
        <v>47</v>
      </c>
      <c r="K632" t="s">
        <v>68</v>
      </c>
      <c r="L632" t="s">
        <v>69</v>
      </c>
      <c r="M632">
        <v>23</v>
      </c>
      <c r="N632">
        <v>89.99</v>
      </c>
      <c r="O632">
        <v>2069.77</v>
      </c>
      <c r="P632">
        <v>0.08</v>
      </c>
      <c r="Q632">
        <v>165.58</v>
      </c>
      <c r="R632">
        <v>1904.19</v>
      </c>
      <c r="S632">
        <v>152.34</v>
      </c>
      <c r="T632">
        <v>2056.5300000000002</v>
      </c>
      <c r="U632" t="s">
        <v>39</v>
      </c>
    </row>
    <row r="633" spans="1:21" x14ac:dyDescent="0.35">
      <c r="A633" t="s">
        <v>747</v>
      </c>
      <c r="B633" s="1">
        <v>45352</v>
      </c>
      <c r="C633">
        <v>2024</v>
      </c>
      <c r="D633" t="s">
        <v>122</v>
      </c>
      <c r="E633" t="s">
        <v>123</v>
      </c>
      <c r="F633" t="s">
        <v>64</v>
      </c>
      <c r="G633" t="s">
        <v>124</v>
      </c>
      <c r="H633" t="s">
        <v>208</v>
      </c>
      <c r="I633" t="s">
        <v>209</v>
      </c>
      <c r="J633" t="s">
        <v>47</v>
      </c>
      <c r="K633" t="s">
        <v>68</v>
      </c>
      <c r="L633" t="s">
        <v>30</v>
      </c>
      <c r="M633">
        <v>20</v>
      </c>
      <c r="N633">
        <v>49.99</v>
      </c>
      <c r="O633">
        <v>999.8</v>
      </c>
      <c r="P633">
        <v>0.08</v>
      </c>
      <c r="Q633">
        <v>79.98</v>
      </c>
      <c r="R633">
        <v>919.82</v>
      </c>
      <c r="S633">
        <v>73.59</v>
      </c>
      <c r="T633">
        <v>993.41</v>
      </c>
      <c r="U633" t="s">
        <v>111</v>
      </c>
    </row>
    <row r="634" spans="1:21" x14ac:dyDescent="0.35">
      <c r="A634" t="s">
        <v>748</v>
      </c>
      <c r="B634" s="1">
        <v>45353</v>
      </c>
      <c r="C634">
        <v>2024</v>
      </c>
      <c r="D634" t="s">
        <v>75</v>
      </c>
      <c r="E634" t="s">
        <v>76</v>
      </c>
      <c r="F634" t="s">
        <v>64</v>
      </c>
      <c r="G634" t="s">
        <v>77</v>
      </c>
      <c r="H634" t="s">
        <v>100</v>
      </c>
      <c r="I634" t="s">
        <v>101</v>
      </c>
      <c r="J634" t="s">
        <v>47</v>
      </c>
      <c r="K634" t="s">
        <v>60</v>
      </c>
      <c r="L634" t="s">
        <v>38</v>
      </c>
      <c r="M634">
        <v>14</v>
      </c>
      <c r="N634">
        <v>29.99</v>
      </c>
      <c r="O634">
        <v>419.86</v>
      </c>
      <c r="P634">
        <v>0.13</v>
      </c>
      <c r="Q634">
        <v>54.58</v>
      </c>
      <c r="R634">
        <v>365.28</v>
      </c>
      <c r="S634">
        <v>29.22</v>
      </c>
      <c r="T634">
        <v>394.5</v>
      </c>
      <c r="U634" t="s">
        <v>39</v>
      </c>
    </row>
    <row r="635" spans="1:21" x14ac:dyDescent="0.35">
      <c r="A635" t="s">
        <v>749</v>
      </c>
      <c r="B635" s="1">
        <v>45357</v>
      </c>
      <c r="C635">
        <v>2024</v>
      </c>
      <c r="D635" t="s">
        <v>107</v>
      </c>
      <c r="E635" t="s">
        <v>108</v>
      </c>
      <c r="F635" t="s">
        <v>35</v>
      </c>
      <c r="G635" t="s">
        <v>109</v>
      </c>
      <c r="H635" t="s">
        <v>66</v>
      </c>
      <c r="I635" t="s">
        <v>67</v>
      </c>
      <c r="J635" t="s">
        <v>56</v>
      </c>
      <c r="K635" t="s">
        <v>29</v>
      </c>
      <c r="L635" t="s">
        <v>30</v>
      </c>
      <c r="M635">
        <v>24</v>
      </c>
      <c r="N635">
        <v>229.99</v>
      </c>
      <c r="O635">
        <v>5519.76</v>
      </c>
      <c r="P635">
        <v>0.08</v>
      </c>
      <c r="Q635">
        <v>441.58</v>
      </c>
      <c r="R635">
        <v>5078.18</v>
      </c>
      <c r="S635">
        <v>406.25</v>
      </c>
      <c r="T635">
        <v>5484.43</v>
      </c>
      <c r="U635" t="s">
        <v>39</v>
      </c>
    </row>
    <row r="636" spans="1:21" x14ac:dyDescent="0.35">
      <c r="A636" t="s">
        <v>750</v>
      </c>
      <c r="B636" s="1">
        <v>45360</v>
      </c>
      <c r="C636">
        <v>2024</v>
      </c>
      <c r="D636" t="s">
        <v>81</v>
      </c>
      <c r="E636" t="s">
        <v>82</v>
      </c>
      <c r="F636" t="s">
        <v>35</v>
      </c>
      <c r="G636" t="s">
        <v>83</v>
      </c>
      <c r="H636" t="s">
        <v>128</v>
      </c>
      <c r="I636" t="s">
        <v>129</v>
      </c>
      <c r="J636" t="s">
        <v>47</v>
      </c>
      <c r="K636" t="s">
        <v>68</v>
      </c>
      <c r="L636" t="s">
        <v>30</v>
      </c>
      <c r="M636">
        <v>17</v>
      </c>
      <c r="N636">
        <v>399.99</v>
      </c>
      <c r="O636">
        <v>6799.83</v>
      </c>
      <c r="P636">
        <v>0.05</v>
      </c>
      <c r="Q636">
        <v>339.99</v>
      </c>
      <c r="R636">
        <v>6459.84</v>
      </c>
      <c r="S636">
        <v>516.79</v>
      </c>
      <c r="T636">
        <v>6976.63</v>
      </c>
      <c r="U636" t="s">
        <v>39</v>
      </c>
    </row>
    <row r="637" spans="1:21" x14ac:dyDescent="0.35">
      <c r="A637" t="s">
        <v>751</v>
      </c>
      <c r="B637" s="1">
        <v>45362</v>
      </c>
      <c r="C637">
        <v>2024</v>
      </c>
      <c r="D637" t="s">
        <v>122</v>
      </c>
      <c r="E637" t="s">
        <v>123</v>
      </c>
      <c r="F637" t="s">
        <v>64</v>
      </c>
      <c r="G637" t="s">
        <v>124</v>
      </c>
      <c r="H637" t="s">
        <v>26</v>
      </c>
      <c r="I637" t="s">
        <v>27</v>
      </c>
      <c r="J637" t="s">
        <v>28</v>
      </c>
      <c r="K637" t="s">
        <v>68</v>
      </c>
      <c r="L637" t="s">
        <v>69</v>
      </c>
      <c r="M637">
        <v>1</v>
      </c>
      <c r="N637">
        <v>8.99</v>
      </c>
      <c r="O637">
        <v>8.99</v>
      </c>
      <c r="P637">
        <v>0</v>
      </c>
      <c r="Q637">
        <v>0</v>
      </c>
      <c r="R637">
        <v>8.99</v>
      </c>
      <c r="S637">
        <v>0.72</v>
      </c>
      <c r="T637">
        <v>9.7100000000000009</v>
      </c>
      <c r="U637" t="s">
        <v>39</v>
      </c>
    </row>
    <row r="638" spans="1:21" x14ac:dyDescent="0.35">
      <c r="A638" t="s">
        <v>752</v>
      </c>
      <c r="B638" s="1">
        <v>45366</v>
      </c>
      <c r="C638">
        <v>2024</v>
      </c>
      <c r="D638" t="s">
        <v>91</v>
      </c>
      <c r="E638" t="s">
        <v>92</v>
      </c>
      <c r="F638" t="s">
        <v>24</v>
      </c>
      <c r="G638" t="s">
        <v>93</v>
      </c>
      <c r="H638" t="s">
        <v>66</v>
      </c>
      <c r="I638" t="s">
        <v>67</v>
      </c>
      <c r="J638" t="s">
        <v>56</v>
      </c>
      <c r="K638" t="s">
        <v>48</v>
      </c>
      <c r="L638" t="s">
        <v>69</v>
      </c>
      <c r="M638">
        <v>13</v>
      </c>
      <c r="N638">
        <v>229.99</v>
      </c>
      <c r="O638">
        <v>2989.87</v>
      </c>
      <c r="P638">
        <v>0.05</v>
      </c>
      <c r="Q638">
        <v>149.49</v>
      </c>
      <c r="R638">
        <v>2840.38</v>
      </c>
      <c r="S638">
        <v>227.23</v>
      </c>
      <c r="T638">
        <v>3067.61</v>
      </c>
      <c r="U638" t="s">
        <v>39</v>
      </c>
    </row>
    <row r="639" spans="1:21" x14ac:dyDescent="0.35">
      <c r="A639" t="s">
        <v>753</v>
      </c>
      <c r="B639" s="1">
        <v>45368</v>
      </c>
      <c r="C639">
        <v>2024</v>
      </c>
      <c r="D639" t="s">
        <v>33</v>
      </c>
      <c r="E639" t="s">
        <v>34</v>
      </c>
      <c r="F639" t="s">
        <v>35</v>
      </c>
      <c r="G639" t="s">
        <v>36</v>
      </c>
      <c r="H639" t="s">
        <v>84</v>
      </c>
      <c r="I639" t="s">
        <v>85</v>
      </c>
      <c r="J639" t="s">
        <v>47</v>
      </c>
      <c r="K639" t="s">
        <v>68</v>
      </c>
      <c r="L639" t="s">
        <v>30</v>
      </c>
      <c r="M639">
        <v>16</v>
      </c>
      <c r="N639">
        <v>249.99</v>
      </c>
      <c r="O639">
        <v>3999.84</v>
      </c>
      <c r="P639">
        <v>0.05</v>
      </c>
      <c r="Q639">
        <v>199.99</v>
      </c>
      <c r="R639">
        <v>3799.85</v>
      </c>
      <c r="S639">
        <v>303.99</v>
      </c>
      <c r="T639">
        <v>4103.84</v>
      </c>
      <c r="U639" t="s">
        <v>111</v>
      </c>
    </row>
    <row r="640" spans="1:21" x14ac:dyDescent="0.35">
      <c r="A640" t="s">
        <v>754</v>
      </c>
      <c r="B640" s="1">
        <v>45371</v>
      </c>
      <c r="C640">
        <v>2024</v>
      </c>
      <c r="D640" t="s">
        <v>33</v>
      </c>
      <c r="E640" t="s">
        <v>34</v>
      </c>
      <c r="F640" t="s">
        <v>35</v>
      </c>
      <c r="G640" t="s">
        <v>36</v>
      </c>
      <c r="H640" t="s">
        <v>94</v>
      </c>
      <c r="I640" t="s">
        <v>95</v>
      </c>
      <c r="J640" t="s">
        <v>56</v>
      </c>
      <c r="K640" t="s">
        <v>29</v>
      </c>
      <c r="L640" t="s">
        <v>73</v>
      </c>
      <c r="M640">
        <v>4</v>
      </c>
      <c r="N640">
        <v>349.99</v>
      </c>
      <c r="O640">
        <v>1399.96</v>
      </c>
      <c r="P640">
        <v>0</v>
      </c>
      <c r="Q640">
        <v>0</v>
      </c>
      <c r="R640">
        <v>1399.96</v>
      </c>
      <c r="S640">
        <v>112</v>
      </c>
      <c r="T640">
        <v>0</v>
      </c>
      <c r="U640" t="s">
        <v>31</v>
      </c>
    </row>
    <row r="641" spans="1:21" x14ac:dyDescent="0.35">
      <c r="A641" t="s">
        <v>755</v>
      </c>
      <c r="B641" s="1">
        <v>45373</v>
      </c>
      <c r="C641">
        <v>2024</v>
      </c>
      <c r="D641" t="s">
        <v>41</v>
      </c>
      <c r="E641" t="s">
        <v>42</v>
      </c>
      <c r="F641" t="s">
        <v>43</v>
      </c>
      <c r="G641" t="s">
        <v>44</v>
      </c>
      <c r="H641" t="s">
        <v>78</v>
      </c>
      <c r="I641" t="s">
        <v>79</v>
      </c>
      <c r="J641" t="s">
        <v>28</v>
      </c>
      <c r="K641" t="s">
        <v>48</v>
      </c>
      <c r="L641" t="s">
        <v>49</v>
      </c>
      <c r="M641">
        <v>17</v>
      </c>
      <c r="N641">
        <v>5.99</v>
      </c>
      <c r="O641">
        <v>101.83</v>
      </c>
      <c r="P641">
        <v>0.05</v>
      </c>
      <c r="Q641">
        <v>5.09</v>
      </c>
      <c r="R641">
        <v>96.74</v>
      </c>
      <c r="S641">
        <v>7.74</v>
      </c>
      <c r="T641">
        <v>104.48</v>
      </c>
      <c r="U641" t="s">
        <v>39</v>
      </c>
    </row>
    <row r="642" spans="1:21" x14ac:dyDescent="0.35">
      <c r="A642" t="s">
        <v>756</v>
      </c>
      <c r="B642" s="1">
        <v>45374</v>
      </c>
      <c r="C642">
        <v>2024</v>
      </c>
      <c r="D642" t="s">
        <v>62</v>
      </c>
      <c r="E642" t="s">
        <v>63</v>
      </c>
      <c r="F642" t="s">
        <v>64</v>
      </c>
      <c r="G642" t="s">
        <v>65</v>
      </c>
      <c r="H642" t="s">
        <v>71</v>
      </c>
      <c r="I642" t="s">
        <v>72</v>
      </c>
      <c r="J642" t="s">
        <v>47</v>
      </c>
      <c r="K642" t="s">
        <v>68</v>
      </c>
      <c r="L642" t="s">
        <v>73</v>
      </c>
      <c r="M642">
        <v>25</v>
      </c>
      <c r="N642">
        <v>1199.99</v>
      </c>
      <c r="O642">
        <v>29999.75</v>
      </c>
      <c r="P642">
        <v>0.08</v>
      </c>
      <c r="Q642">
        <v>2399.98</v>
      </c>
      <c r="R642">
        <v>27599.77</v>
      </c>
      <c r="S642">
        <v>2207.98</v>
      </c>
      <c r="T642">
        <v>29807.75</v>
      </c>
      <c r="U642" t="s">
        <v>39</v>
      </c>
    </row>
    <row r="643" spans="1:21" x14ac:dyDescent="0.35">
      <c r="A643" t="s">
        <v>757</v>
      </c>
      <c r="B643" s="1">
        <v>45376</v>
      </c>
      <c r="C643">
        <v>2024</v>
      </c>
      <c r="D643" t="s">
        <v>107</v>
      </c>
      <c r="E643" t="s">
        <v>108</v>
      </c>
      <c r="F643" t="s">
        <v>35</v>
      </c>
      <c r="G643" t="s">
        <v>109</v>
      </c>
      <c r="H643" t="s">
        <v>45</v>
      </c>
      <c r="I643" t="s">
        <v>46</v>
      </c>
      <c r="J643" t="s">
        <v>47</v>
      </c>
      <c r="K643" t="s">
        <v>60</v>
      </c>
      <c r="L643" t="s">
        <v>69</v>
      </c>
      <c r="M643">
        <v>21</v>
      </c>
      <c r="N643">
        <v>89.99</v>
      </c>
      <c r="O643">
        <v>1889.79</v>
      </c>
      <c r="P643">
        <v>0.08</v>
      </c>
      <c r="Q643">
        <v>151.18</v>
      </c>
      <c r="R643">
        <v>1738.61</v>
      </c>
      <c r="S643">
        <v>139.09</v>
      </c>
      <c r="T643">
        <v>1877.7</v>
      </c>
      <c r="U643" t="s">
        <v>39</v>
      </c>
    </row>
    <row r="644" spans="1:21" x14ac:dyDescent="0.35">
      <c r="A644" t="s">
        <v>758</v>
      </c>
      <c r="B644" s="1">
        <v>45376</v>
      </c>
      <c r="C644">
        <v>2024</v>
      </c>
      <c r="D644" t="s">
        <v>87</v>
      </c>
      <c r="E644" t="s">
        <v>88</v>
      </c>
      <c r="F644" t="s">
        <v>24</v>
      </c>
      <c r="G644" t="s">
        <v>89</v>
      </c>
      <c r="H644" t="s">
        <v>54</v>
      </c>
      <c r="I644" t="s">
        <v>55</v>
      </c>
      <c r="J644" t="s">
        <v>56</v>
      </c>
      <c r="K644" t="s">
        <v>37</v>
      </c>
      <c r="L644" t="s">
        <v>69</v>
      </c>
      <c r="M644">
        <v>29</v>
      </c>
      <c r="N644">
        <v>39.99</v>
      </c>
      <c r="O644">
        <v>1159.71</v>
      </c>
      <c r="P644">
        <v>0.08</v>
      </c>
      <c r="Q644">
        <v>92.78</v>
      </c>
      <c r="R644">
        <v>1066.93</v>
      </c>
      <c r="S644">
        <v>85.35</v>
      </c>
      <c r="T644">
        <v>1152.28</v>
      </c>
      <c r="U644" t="s">
        <v>39</v>
      </c>
    </row>
    <row r="645" spans="1:21" x14ac:dyDescent="0.35">
      <c r="A645" t="s">
        <v>759</v>
      </c>
      <c r="B645" s="1">
        <v>45378</v>
      </c>
      <c r="C645">
        <v>2024</v>
      </c>
      <c r="D645" t="s">
        <v>91</v>
      </c>
      <c r="E645" t="s">
        <v>92</v>
      </c>
      <c r="F645" t="s">
        <v>24</v>
      </c>
      <c r="G645" t="s">
        <v>93</v>
      </c>
      <c r="H645" t="s">
        <v>84</v>
      </c>
      <c r="I645" t="s">
        <v>85</v>
      </c>
      <c r="J645" t="s">
        <v>47</v>
      </c>
      <c r="K645" t="s">
        <v>68</v>
      </c>
      <c r="L645" t="s">
        <v>38</v>
      </c>
      <c r="M645">
        <v>7</v>
      </c>
      <c r="N645">
        <v>249.99</v>
      </c>
      <c r="O645">
        <v>1749.93</v>
      </c>
      <c r="P645">
        <v>0.08</v>
      </c>
      <c r="Q645">
        <v>139.99</v>
      </c>
      <c r="R645">
        <v>1609.94</v>
      </c>
      <c r="S645">
        <v>128.80000000000001</v>
      </c>
      <c r="T645">
        <v>1738.74</v>
      </c>
      <c r="U645" t="s">
        <v>39</v>
      </c>
    </row>
    <row r="646" spans="1:21" x14ac:dyDescent="0.35">
      <c r="A646" t="s">
        <v>760</v>
      </c>
      <c r="B646" s="1">
        <v>45379</v>
      </c>
      <c r="C646">
        <v>2024</v>
      </c>
      <c r="D646" t="s">
        <v>62</v>
      </c>
      <c r="E646" t="s">
        <v>63</v>
      </c>
      <c r="F646" t="s">
        <v>64</v>
      </c>
      <c r="G646" t="s">
        <v>65</v>
      </c>
      <c r="H646" t="s">
        <v>125</v>
      </c>
      <c r="I646" t="s">
        <v>126</v>
      </c>
      <c r="J646" t="s">
        <v>28</v>
      </c>
      <c r="K646" t="s">
        <v>37</v>
      </c>
      <c r="L646" t="s">
        <v>30</v>
      </c>
      <c r="M646">
        <v>28</v>
      </c>
      <c r="N646">
        <v>79.989999999999995</v>
      </c>
      <c r="O646">
        <v>2239.7199999999998</v>
      </c>
      <c r="P646">
        <v>0.08</v>
      </c>
      <c r="Q646">
        <v>179.18</v>
      </c>
      <c r="R646">
        <v>2060.54</v>
      </c>
      <c r="S646">
        <v>164.84</v>
      </c>
      <c r="T646">
        <v>2225.38</v>
      </c>
      <c r="U646" t="s">
        <v>39</v>
      </c>
    </row>
    <row r="647" spans="1:21" x14ac:dyDescent="0.35">
      <c r="A647" t="s">
        <v>761</v>
      </c>
      <c r="B647" s="1">
        <v>45382</v>
      </c>
      <c r="C647">
        <v>2024</v>
      </c>
      <c r="D647" t="s">
        <v>107</v>
      </c>
      <c r="E647" t="s">
        <v>108</v>
      </c>
      <c r="F647" t="s">
        <v>35</v>
      </c>
      <c r="G647" t="s">
        <v>109</v>
      </c>
      <c r="H647" t="s">
        <v>26</v>
      </c>
      <c r="I647" t="s">
        <v>27</v>
      </c>
      <c r="J647" t="s">
        <v>28</v>
      </c>
      <c r="K647" t="s">
        <v>48</v>
      </c>
      <c r="L647" t="s">
        <v>73</v>
      </c>
      <c r="M647">
        <v>11</v>
      </c>
      <c r="N647">
        <v>8.99</v>
      </c>
      <c r="O647">
        <v>98.89</v>
      </c>
      <c r="P647">
        <v>0.05</v>
      </c>
      <c r="Q647">
        <v>4.9400000000000004</v>
      </c>
      <c r="R647">
        <v>93.95</v>
      </c>
      <c r="S647">
        <v>7.52</v>
      </c>
      <c r="T647">
        <v>101.47</v>
      </c>
      <c r="U647" t="s">
        <v>39</v>
      </c>
    </row>
    <row r="648" spans="1:21" x14ac:dyDescent="0.35">
      <c r="A648" t="s">
        <v>762</v>
      </c>
      <c r="B648" s="1">
        <v>45383</v>
      </c>
      <c r="C648">
        <v>2024</v>
      </c>
      <c r="D648" t="s">
        <v>51</v>
      </c>
      <c r="E648" t="s">
        <v>52</v>
      </c>
      <c r="F648" t="s">
        <v>24</v>
      </c>
      <c r="G648" t="s">
        <v>53</v>
      </c>
      <c r="H648" t="s">
        <v>78</v>
      </c>
      <c r="I648" t="s">
        <v>79</v>
      </c>
      <c r="J648" t="s">
        <v>28</v>
      </c>
      <c r="K648" t="s">
        <v>37</v>
      </c>
      <c r="L648" t="s">
        <v>73</v>
      </c>
      <c r="M648">
        <v>21</v>
      </c>
      <c r="N648">
        <v>5.99</v>
      </c>
      <c r="O648">
        <v>125.79</v>
      </c>
      <c r="P648">
        <v>0.08</v>
      </c>
      <c r="Q648">
        <v>10.06</v>
      </c>
      <c r="R648">
        <v>115.73</v>
      </c>
      <c r="S648">
        <v>9.26</v>
      </c>
      <c r="T648">
        <v>124.99</v>
      </c>
      <c r="U648" t="s">
        <v>111</v>
      </c>
    </row>
    <row r="649" spans="1:21" x14ac:dyDescent="0.35">
      <c r="A649" t="s">
        <v>763</v>
      </c>
      <c r="B649" s="1">
        <v>45384</v>
      </c>
      <c r="C649">
        <v>2024</v>
      </c>
      <c r="D649" t="s">
        <v>107</v>
      </c>
      <c r="E649" t="s">
        <v>108</v>
      </c>
      <c r="F649" t="s">
        <v>35</v>
      </c>
      <c r="G649" t="s">
        <v>109</v>
      </c>
      <c r="H649" t="s">
        <v>45</v>
      </c>
      <c r="I649" t="s">
        <v>46</v>
      </c>
      <c r="J649" t="s">
        <v>47</v>
      </c>
      <c r="K649" t="s">
        <v>60</v>
      </c>
      <c r="L649" t="s">
        <v>73</v>
      </c>
      <c r="M649">
        <v>28</v>
      </c>
      <c r="N649">
        <v>89.99</v>
      </c>
      <c r="O649">
        <v>2519.7199999999998</v>
      </c>
      <c r="P649">
        <v>0.08</v>
      </c>
      <c r="Q649">
        <v>201.58</v>
      </c>
      <c r="R649">
        <v>2318.14</v>
      </c>
      <c r="S649">
        <v>185.45</v>
      </c>
      <c r="T649">
        <v>2503.59</v>
      </c>
      <c r="U649" t="s">
        <v>39</v>
      </c>
    </row>
    <row r="650" spans="1:21" x14ac:dyDescent="0.35">
      <c r="A650" t="s">
        <v>764</v>
      </c>
      <c r="B650" s="1">
        <v>45389</v>
      </c>
      <c r="C650">
        <v>2024</v>
      </c>
      <c r="D650" t="s">
        <v>122</v>
      </c>
      <c r="E650" t="s">
        <v>123</v>
      </c>
      <c r="F650" t="s">
        <v>64</v>
      </c>
      <c r="G650" t="s">
        <v>124</v>
      </c>
      <c r="H650" t="s">
        <v>145</v>
      </c>
      <c r="I650" t="s">
        <v>146</v>
      </c>
      <c r="J650" t="s">
        <v>47</v>
      </c>
      <c r="K650" t="s">
        <v>68</v>
      </c>
      <c r="L650" t="s">
        <v>30</v>
      </c>
      <c r="M650">
        <v>19</v>
      </c>
      <c r="N650">
        <v>129.99</v>
      </c>
      <c r="O650">
        <v>2469.81</v>
      </c>
      <c r="P650">
        <v>0.05</v>
      </c>
      <c r="Q650">
        <v>123.49</v>
      </c>
      <c r="R650">
        <v>2346.3200000000002</v>
      </c>
      <c r="S650">
        <v>187.71</v>
      </c>
      <c r="T650">
        <v>2534.0300000000002</v>
      </c>
      <c r="U650" t="s">
        <v>111</v>
      </c>
    </row>
    <row r="651" spans="1:21" x14ac:dyDescent="0.35">
      <c r="A651" t="s">
        <v>765</v>
      </c>
      <c r="B651" s="1">
        <v>45389</v>
      </c>
      <c r="C651">
        <v>2024</v>
      </c>
      <c r="D651" t="s">
        <v>33</v>
      </c>
      <c r="E651" t="s">
        <v>34</v>
      </c>
      <c r="F651" t="s">
        <v>35</v>
      </c>
      <c r="G651" t="s">
        <v>36</v>
      </c>
      <c r="H651" t="s">
        <v>94</v>
      </c>
      <c r="I651" t="s">
        <v>95</v>
      </c>
      <c r="J651" t="s">
        <v>56</v>
      </c>
      <c r="K651" t="s">
        <v>60</v>
      </c>
      <c r="L651" t="s">
        <v>73</v>
      </c>
      <c r="M651">
        <v>27</v>
      </c>
      <c r="N651">
        <v>349.99</v>
      </c>
      <c r="O651">
        <v>9449.73</v>
      </c>
      <c r="P651">
        <v>0.08</v>
      </c>
      <c r="Q651">
        <v>755.98</v>
      </c>
      <c r="R651">
        <v>8693.75</v>
      </c>
      <c r="S651">
        <v>695.5</v>
      </c>
      <c r="T651">
        <v>9389.25</v>
      </c>
      <c r="U651" t="s">
        <v>39</v>
      </c>
    </row>
    <row r="652" spans="1:21" x14ac:dyDescent="0.35">
      <c r="A652" t="s">
        <v>766</v>
      </c>
      <c r="B652" s="1">
        <v>45391</v>
      </c>
      <c r="C652">
        <v>2024</v>
      </c>
      <c r="D652" t="s">
        <v>186</v>
      </c>
      <c r="E652" t="s">
        <v>187</v>
      </c>
      <c r="F652" t="s">
        <v>43</v>
      </c>
      <c r="G652" t="s">
        <v>188</v>
      </c>
      <c r="H652" t="s">
        <v>45</v>
      </c>
      <c r="I652" t="s">
        <v>46</v>
      </c>
      <c r="J652" t="s">
        <v>47</v>
      </c>
      <c r="K652" t="s">
        <v>48</v>
      </c>
      <c r="L652" t="s">
        <v>69</v>
      </c>
      <c r="M652">
        <v>29</v>
      </c>
      <c r="N652">
        <v>89.99</v>
      </c>
      <c r="O652">
        <v>2609.71</v>
      </c>
      <c r="P652">
        <v>0.08</v>
      </c>
      <c r="Q652">
        <v>208.78</v>
      </c>
      <c r="R652">
        <v>2400.9299999999998</v>
      </c>
      <c r="S652">
        <v>192.07</v>
      </c>
      <c r="T652">
        <v>2593</v>
      </c>
      <c r="U652" t="s">
        <v>39</v>
      </c>
    </row>
    <row r="653" spans="1:21" x14ac:dyDescent="0.35">
      <c r="A653" t="s">
        <v>767</v>
      </c>
      <c r="B653" s="1">
        <v>45392</v>
      </c>
      <c r="C653">
        <v>2024</v>
      </c>
      <c r="D653" t="s">
        <v>75</v>
      </c>
      <c r="E653" t="s">
        <v>76</v>
      </c>
      <c r="F653" t="s">
        <v>64</v>
      </c>
      <c r="G653" t="s">
        <v>77</v>
      </c>
      <c r="H653" t="s">
        <v>128</v>
      </c>
      <c r="I653" t="s">
        <v>129</v>
      </c>
      <c r="J653" t="s">
        <v>47</v>
      </c>
      <c r="K653" t="s">
        <v>60</v>
      </c>
      <c r="L653" t="s">
        <v>69</v>
      </c>
      <c r="M653">
        <v>20</v>
      </c>
      <c r="N653">
        <v>399.99</v>
      </c>
      <c r="O653">
        <v>7999.8</v>
      </c>
      <c r="P653">
        <v>0.08</v>
      </c>
      <c r="Q653">
        <v>639.98</v>
      </c>
      <c r="R653">
        <v>7359.82</v>
      </c>
      <c r="S653">
        <v>588.79</v>
      </c>
      <c r="T653">
        <v>7948.61</v>
      </c>
      <c r="U653" t="s">
        <v>39</v>
      </c>
    </row>
    <row r="654" spans="1:21" x14ac:dyDescent="0.35">
      <c r="A654" t="s">
        <v>768</v>
      </c>
      <c r="B654" s="1">
        <v>45394</v>
      </c>
      <c r="C654">
        <v>2024</v>
      </c>
      <c r="D654" t="s">
        <v>186</v>
      </c>
      <c r="E654" t="s">
        <v>187</v>
      </c>
      <c r="F654" t="s">
        <v>43</v>
      </c>
      <c r="G654" t="s">
        <v>188</v>
      </c>
      <c r="H654" t="s">
        <v>125</v>
      </c>
      <c r="I654" t="s">
        <v>126</v>
      </c>
      <c r="J654" t="s">
        <v>28</v>
      </c>
      <c r="K654" t="s">
        <v>68</v>
      </c>
      <c r="L654" t="s">
        <v>73</v>
      </c>
      <c r="M654">
        <v>29</v>
      </c>
      <c r="N654">
        <v>79.989999999999995</v>
      </c>
      <c r="O654">
        <v>2319.71</v>
      </c>
      <c r="P654">
        <v>0.08</v>
      </c>
      <c r="Q654">
        <v>185.58</v>
      </c>
      <c r="R654">
        <v>2134.13</v>
      </c>
      <c r="S654">
        <v>170.73</v>
      </c>
      <c r="T654">
        <v>2304.86</v>
      </c>
      <c r="U654" t="s">
        <v>39</v>
      </c>
    </row>
    <row r="655" spans="1:21" x14ac:dyDescent="0.35">
      <c r="A655" t="s">
        <v>769</v>
      </c>
      <c r="B655" s="1">
        <v>45394</v>
      </c>
      <c r="C655">
        <v>2024</v>
      </c>
      <c r="D655" t="s">
        <v>33</v>
      </c>
      <c r="E655" t="s">
        <v>34</v>
      </c>
      <c r="F655" t="s">
        <v>35</v>
      </c>
      <c r="G655" t="s">
        <v>36</v>
      </c>
      <c r="H655" t="s">
        <v>58</v>
      </c>
      <c r="I655" t="s">
        <v>59</v>
      </c>
      <c r="J655" t="s">
        <v>56</v>
      </c>
      <c r="K655" t="s">
        <v>68</v>
      </c>
      <c r="L655" t="s">
        <v>38</v>
      </c>
      <c r="M655">
        <v>20</v>
      </c>
      <c r="N655">
        <v>599.99</v>
      </c>
      <c r="O655">
        <v>11999.8</v>
      </c>
      <c r="P655">
        <v>0.16</v>
      </c>
      <c r="Q655">
        <v>1919.97</v>
      </c>
      <c r="R655">
        <v>10079.83</v>
      </c>
      <c r="S655">
        <v>806.39</v>
      </c>
      <c r="T655">
        <v>10886.22</v>
      </c>
      <c r="U655" t="s">
        <v>39</v>
      </c>
    </row>
    <row r="656" spans="1:21" x14ac:dyDescent="0.35">
      <c r="A656" t="s">
        <v>770</v>
      </c>
      <c r="B656" s="1">
        <v>45398</v>
      </c>
      <c r="C656">
        <v>2024</v>
      </c>
      <c r="D656" t="s">
        <v>75</v>
      </c>
      <c r="E656" t="s">
        <v>76</v>
      </c>
      <c r="F656" t="s">
        <v>64</v>
      </c>
      <c r="G656" t="s">
        <v>77</v>
      </c>
      <c r="H656" t="s">
        <v>58</v>
      </c>
      <c r="I656" t="s">
        <v>59</v>
      </c>
      <c r="J656" t="s">
        <v>56</v>
      </c>
      <c r="K656" t="s">
        <v>68</v>
      </c>
      <c r="L656" t="s">
        <v>30</v>
      </c>
      <c r="M656">
        <v>30</v>
      </c>
      <c r="N656">
        <v>599.99</v>
      </c>
      <c r="O656">
        <v>17999.7</v>
      </c>
      <c r="P656">
        <v>0.08</v>
      </c>
      <c r="Q656">
        <v>1439.98</v>
      </c>
      <c r="R656">
        <v>16559.72</v>
      </c>
      <c r="S656">
        <v>1324.78</v>
      </c>
      <c r="T656">
        <v>17884.5</v>
      </c>
      <c r="U656" t="s">
        <v>39</v>
      </c>
    </row>
    <row r="657" spans="1:21" x14ac:dyDescent="0.35">
      <c r="A657" t="s">
        <v>771</v>
      </c>
      <c r="B657" s="1">
        <v>45399</v>
      </c>
      <c r="C657">
        <v>2024</v>
      </c>
      <c r="D657" t="s">
        <v>107</v>
      </c>
      <c r="E657" t="s">
        <v>108</v>
      </c>
      <c r="F657" t="s">
        <v>35</v>
      </c>
      <c r="G657" t="s">
        <v>109</v>
      </c>
      <c r="H657" t="s">
        <v>78</v>
      </c>
      <c r="I657" t="s">
        <v>79</v>
      </c>
      <c r="J657" t="s">
        <v>28</v>
      </c>
      <c r="K657" t="s">
        <v>37</v>
      </c>
      <c r="L657" t="s">
        <v>38</v>
      </c>
      <c r="M657">
        <v>9</v>
      </c>
      <c r="N657">
        <v>5.99</v>
      </c>
      <c r="O657">
        <v>53.91</v>
      </c>
      <c r="P657">
        <v>0.08</v>
      </c>
      <c r="Q657">
        <v>4.3099999999999996</v>
      </c>
      <c r="R657">
        <v>49.6</v>
      </c>
      <c r="S657">
        <v>3.97</v>
      </c>
      <c r="T657">
        <v>53.57</v>
      </c>
      <c r="U657" t="s">
        <v>39</v>
      </c>
    </row>
    <row r="658" spans="1:21" x14ac:dyDescent="0.35">
      <c r="A658" t="s">
        <v>772</v>
      </c>
      <c r="B658" s="1">
        <v>45403</v>
      </c>
      <c r="C658">
        <v>2024</v>
      </c>
      <c r="D658" t="s">
        <v>122</v>
      </c>
      <c r="E658" t="s">
        <v>123</v>
      </c>
      <c r="F658" t="s">
        <v>64</v>
      </c>
      <c r="G658" t="s">
        <v>124</v>
      </c>
      <c r="H658" t="s">
        <v>58</v>
      </c>
      <c r="I658" t="s">
        <v>59</v>
      </c>
      <c r="J658" t="s">
        <v>56</v>
      </c>
      <c r="K658" t="s">
        <v>60</v>
      </c>
      <c r="L658" t="s">
        <v>49</v>
      </c>
      <c r="M658">
        <v>9</v>
      </c>
      <c r="N658">
        <v>599.99</v>
      </c>
      <c r="O658">
        <v>5399.91</v>
      </c>
      <c r="P658">
        <v>0</v>
      </c>
      <c r="Q658">
        <v>0</v>
      </c>
      <c r="R658">
        <v>5399.91</v>
      </c>
      <c r="S658">
        <v>431.99</v>
      </c>
      <c r="T658">
        <v>5831.9</v>
      </c>
      <c r="U658" t="s">
        <v>39</v>
      </c>
    </row>
    <row r="659" spans="1:21" x14ac:dyDescent="0.35">
      <c r="A659" t="s">
        <v>773</v>
      </c>
      <c r="B659" s="1">
        <v>45405</v>
      </c>
      <c r="C659">
        <v>2024</v>
      </c>
      <c r="D659" t="s">
        <v>22</v>
      </c>
      <c r="E659" t="s">
        <v>23</v>
      </c>
      <c r="F659" t="s">
        <v>24</v>
      </c>
      <c r="G659" t="s">
        <v>25</v>
      </c>
      <c r="H659" t="s">
        <v>66</v>
      </c>
      <c r="I659" t="s">
        <v>67</v>
      </c>
      <c r="J659" t="s">
        <v>56</v>
      </c>
      <c r="K659" t="s">
        <v>29</v>
      </c>
      <c r="L659" t="s">
        <v>69</v>
      </c>
      <c r="M659">
        <v>2</v>
      </c>
      <c r="N659">
        <v>229.99</v>
      </c>
      <c r="O659">
        <v>459.98</v>
      </c>
      <c r="P659">
        <v>0</v>
      </c>
      <c r="Q659">
        <v>0</v>
      </c>
      <c r="R659">
        <v>459.98</v>
      </c>
      <c r="S659">
        <v>36.799999999999997</v>
      </c>
      <c r="T659">
        <v>496.78</v>
      </c>
      <c r="U659" t="s">
        <v>39</v>
      </c>
    </row>
    <row r="660" spans="1:21" x14ac:dyDescent="0.35">
      <c r="A660" t="s">
        <v>774</v>
      </c>
      <c r="B660" s="1">
        <v>45406</v>
      </c>
      <c r="C660">
        <v>2024</v>
      </c>
      <c r="D660" t="s">
        <v>148</v>
      </c>
      <c r="E660" t="s">
        <v>149</v>
      </c>
      <c r="F660" t="s">
        <v>43</v>
      </c>
      <c r="G660" t="s">
        <v>150</v>
      </c>
      <c r="H660" t="s">
        <v>78</v>
      </c>
      <c r="I660" t="s">
        <v>79</v>
      </c>
      <c r="J660" t="s">
        <v>28</v>
      </c>
      <c r="K660" t="s">
        <v>48</v>
      </c>
      <c r="L660" t="s">
        <v>30</v>
      </c>
      <c r="M660">
        <v>19</v>
      </c>
      <c r="N660">
        <v>5.99</v>
      </c>
      <c r="O660">
        <v>113.81</v>
      </c>
      <c r="P660">
        <v>0.05</v>
      </c>
      <c r="Q660">
        <v>5.69</v>
      </c>
      <c r="R660">
        <v>108.12</v>
      </c>
      <c r="S660">
        <v>8.65</v>
      </c>
      <c r="T660">
        <v>116.77</v>
      </c>
      <c r="U660" t="s">
        <v>111</v>
      </c>
    </row>
    <row r="661" spans="1:21" x14ac:dyDescent="0.35">
      <c r="A661" t="s">
        <v>775</v>
      </c>
      <c r="B661" s="1">
        <v>45407</v>
      </c>
      <c r="C661">
        <v>2024</v>
      </c>
      <c r="D661" t="s">
        <v>75</v>
      </c>
      <c r="E661" t="s">
        <v>76</v>
      </c>
      <c r="F661" t="s">
        <v>64</v>
      </c>
      <c r="G661" t="s">
        <v>77</v>
      </c>
      <c r="H661" t="s">
        <v>71</v>
      </c>
      <c r="I661" t="s">
        <v>72</v>
      </c>
      <c r="J661" t="s">
        <v>47</v>
      </c>
      <c r="K661" t="s">
        <v>48</v>
      </c>
      <c r="L661" t="s">
        <v>73</v>
      </c>
      <c r="M661">
        <v>21</v>
      </c>
      <c r="N661">
        <v>1199.99</v>
      </c>
      <c r="O661">
        <v>25199.79</v>
      </c>
      <c r="P661">
        <v>0.08</v>
      </c>
      <c r="Q661">
        <v>2015.98</v>
      </c>
      <c r="R661">
        <v>23183.81</v>
      </c>
      <c r="S661">
        <v>1854.7</v>
      </c>
      <c r="T661">
        <v>25038.51</v>
      </c>
      <c r="U661" t="s">
        <v>39</v>
      </c>
    </row>
    <row r="662" spans="1:21" x14ac:dyDescent="0.35">
      <c r="A662" t="s">
        <v>776</v>
      </c>
      <c r="B662" s="1">
        <v>45413</v>
      </c>
      <c r="C662">
        <v>2024</v>
      </c>
      <c r="D662" t="s">
        <v>148</v>
      </c>
      <c r="E662" t="s">
        <v>149</v>
      </c>
      <c r="F662" t="s">
        <v>43</v>
      </c>
      <c r="G662" t="s">
        <v>150</v>
      </c>
      <c r="H662" t="s">
        <v>145</v>
      </c>
      <c r="I662" t="s">
        <v>146</v>
      </c>
      <c r="J662" t="s">
        <v>47</v>
      </c>
      <c r="K662" t="s">
        <v>37</v>
      </c>
      <c r="L662" t="s">
        <v>69</v>
      </c>
      <c r="M662">
        <v>17</v>
      </c>
      <c r="N662">
        <v>129.99</v>
      </c>
      <c r="O662">
        <v>2209.83</v>
      </c>
      <c r="P662">
        <v>0.05</v>
      </c>
      <c r="Q662">
        <v>110.49</v>
      </c>
      <c r="R662">
        <v>2099.34</v>
      </c>
      <c r="S662">
        <v>167.95</v>
      </c>
      <c r="T662">
        <v>2267.29</v>
      </c>
      <c r="U662" t="s">
        <v>39</v>
      </c>
    </row>
    <row r="663" spans="1:21" x14ac:dyDescent="0.35">
      <c r="A663" t="s">
        <v>777</v>
      </c>
      <c r="B663" s="1">
        <v>45413</v>
      </c>
      <c r="C663">
        <v>2024</v>
      </c>
      <c r="D663" t="s">
        <v>41</v>
      </c>
      <c r="E663" t="s">
        <v>42</v>
      </c>
      <c r="F663" t="s">
        <v>43</v>
      </c>
      <c r="G663" t="s">
        <v>44</v>
      </c>
      <c r="H663" t="s">
        <v>125</v>
      </c>
      <c r="I663" t="s">
        <v>126</v>
      </c>
      <c r="J663" t="s">
        <v>28</v>
      </c>
      <c r="K663" t="s">
        <v>29</v>
      </c>
      <c r="L663" t="s">
        <v>49</v>
      </c>
      <c r="M663">
        <v>3</v>
      </c>
      <c r="N663">
        <v>79.989999999999995</v>
      </c>
      <c r="O663">
        <v>239.97</v>
      </c>
      <c r="P663">
        <v>0</v>
      </c>
      <c r="Q663">
        <v>0</v>
      </c>
      <c r="R663">
        <v>239.97</v>
      </c>
      <c r="S663">
        <v>19.2</v>
      </c>
      <c r="T663">
        <v>259.17</v>
      </c>
      <c r="U663" t="s">
        <v>111</v>
      </c>
    </row>
    <row r="664" spans="1:21" x14ac:dyDescent="0.35">
      <c r="A664" t="s">
        <v>778</v>
      </c>
      <c r="B664" s="1">
        <v>45427</v>
      </c>
      <c r="C664">
        <v>2024</v>
      </c>
      <c r="D664" t="s">
        <v>97</v>
      </c>
      <c r="E664" t="s">
        <v>98</v>
      </c>
      <c r="F664" t="s">
        <v>35</v>
      </c>
      <c r="G664" t="s">
        <v>99</v>
      </c>
      <c r="H664" t="s">
        <v>54</v>
      </c>
      <c r="I664" t="s">
        <v>55</v>
      </c>
      <c r="J664" t="s">
        <v>56</v>
      </c>
      <c r="K664" t="s">
        <v>29</v>
      </c>
      <c r="L664" t="s">
        <v>38</v>
      </c>
      <c r="M664">
        <v>15</v>
      </c>
      <c r="N664">
        <v>39.99</v>
      </c>
      <c r="O664">
        <v>599.85</v>
      </c>
      <c r="P664">
        <v>0.13</v>
      </c>
      <c r="Q664">
        <v>77.98</v>
      </c>
      <c r="R664">
        <v>521.87</v>
      </c>
      <c r="S664">
        <v>41.75</v>
      </c>
      <c r="T664">
        <v>563.62</v>
      </c>
      <c r="U664" t="s">
        <v>39</v>
      </c>
    </row>
    <row r="665" spans="1:21" x14ac:dyDescent="0.35">
      <c r="A665" t="s">
        <v>779</v>
      </c>
      <c r="B665" s="1">
        <v>45428</v>
      </c>
      <c r="C665">
        <v>2024</v>
      </c>
      <c r="D665" t="s">
        <v>75</v>
      </c>
      <c r="E665" t="s">
        <v>76</v>
      </c>
      <c r="F665" t="s">
        <v>64</v>
      </c>
      <c r="G665" t="s">
        <v>77</v>
      </c>
      <c r="H665" t="s">
        <v>94</v>
      </c>
      <c r="I665" t="s">
        <v>95</v>
      </c>
      <c r="J665" t="s">
        <v>56</v>
      </c>
      <c r="K665" t="s">
        <v>68</v>
      </c>
      <c r="L665" t="s">
        <v>73</v>
      </c>
      <c r="M665">
        <v>8</v>
      </c>
      <c r="N665">
        <v>349.99</v>
      </c>
      <c r="O665">
        <v>2799.92</v>
      </c>
      <c r="P665">
        <v>0</v>
      </c>
      <c r="Q665">
        <v>0</v>
      </c>
      <c r="R665">
        <v>2799.92</v>
      </c>
      <c r="S665">
        <v>223.99</v>
      </c>
      <c r="T665">
        <v>3023.91</v>
      </c>
      <c r="U665" t="s">
        <v>111</v>
      </c>
    </row>
    <row r="666" spans="1:21" x14ac:dyDescent="0.35">
      <c r="A666" t="s">
        <v>780</v>
      </c>
      <c r="B666" s="1">
        <v>45429</v>
      </c>
      <c r="C666">
        <v>2024</v>
      </c>
      <c r="D666" t="s">
        <v>41</v>
      </c>
      <c r="E666" t="s">
        <v>42</v>
      </c>
      <c r="F666" t="s">
        <v>43</v>
      </c>
      <c r="G666" t="s">
        <v>44</v>
      </c>
      <c r="H666" t="s">
        <v>58</v>
      </c>
      <c r="I666" t="s">
        <v>59</v>
      </c>
      <c r="J666" t="s">
        <v>56</v>
      </c>
      <c r="K666" t="s">
        <v>60</v>
      </c>
      <c r="L666" t="s">
        <v>49</v>
      </c>
      <c r="M666">
        <v>27</v>
      </c>
      <c r="N666">
        <v>599.99</v>
      </c>
      <c r="O666">
        <v>16199.73</v>
      </c>
      <c r="P666">
        <v>0.08</v>
      </c>
      <c r="Q666">
        <v>1295.98</v>
      </c>
      <c r="R666">
        <v>14903.75</v>
      </c>
      <c r="S666">
        <v>1192.3</v>
      </c>
      <c r="T666">
        <v>16096.05</v>
      </c>
      <c r="U666" t="s">
        <v>39</v>
      </c>
    </row>
    <row r="667" spans="1:21" x14ac:dyDescent="0.35">
      <c r="A667" t="s">
        <v>781</v>
      </c>
      <c r="B667" s="1">
        <v>45430</v>
      </c>
      <c r="C667">
        <v>2024</v>
      </c>
      <c r="D667" t="s">
        <v>107</v>
      </c>
      <c r="E667" t="s">
        <v>108</v>
      </c>
      <c r="F667" t="s">
        <v>35</v>
      </c>
      <c r="G667" t="s">
        <v>109</v>
      </c>
      <c r="H667" t="s">
        <v>26</v>
      </c>
      <c r="I667" t="s">
        <v>27</v>
      </c>
      <c r="J667" t="s">
        <v>28</v>
      </c>
      <c r="K667" t="s">
        <v>48</v>
      </c>
      <c r="L667" t="s">
        <v>30</v>
      </c>
      <c r="M667">
        <v>13</v>
      </c>
      <c r="N667">
        <v>8.99</v>
      </c>
      <c r="O667">
        <v>116.87</v>
      </c>
      <c r="P667">
        <v>0.05</v>
      </c>
      <c r="Q667">
        <v>5.84</v>
      </c>
      <c r="R667">
        <v>111.03</v>
      </c>
      <c r="S667">
        <v>8.8800000000000008</v>
      </c>
      <c r="T667">
        <v>119.91</v>
      </c>
      <c r="U667" t="s">
        <v>39</v>
      </c>
    </row>
    <row r="668" spans="1:21" x14ac:dyDescent="0.35">
      <c r="A668" t="s">
        <v>782</v>
      </c>
      <c r="B668" s="1">
        <v>45431</v>
      </c>
      <c r="C668">
        <v>2024</v>
      </c>
      <c r="D668" t="s">
        <v>22</v>
      </c>
      <c r="E668" t="s">
        <v>23</v>
      </c>
      <c r="F668" t="s">
        <v>24</v>
      </c>
      <c r="G668" t="s">
        <v>25</v>
      </c>
      <c r="H668" t="s">
        <v>125</v>
      </c>
      <c r="I668" t="s">
        <v>126</v>
      </c>
      <c r="J668" t="s">
        <v>28</v>
      </c>
      <c r="K668" t="s">
        <v>60</v>
      </c>
      <c r="L668" t="s">
        <v>49</v>
      </c>
      <c r="M668">
        <v>15</v>
      </c>
      <c r="N668">
        <v>79.989999999999995</v>
      </c>
      <c r="O668">
        <v>1199.8499999999999</v>
      </c>
      <c r="P668">
        <v>0.05</v>
      </c>
      <c r="Q668">
        <v>59.99</v>
      </c>
      <c r="R668">
        <v>1139.8599999999999</v>
      </c>
      <c r="S668">
        <v>91.19</v>
      </c>
      <c r="T668">
        <v>1231.05</v>
      </c>
      <c r="U668" t="s">
        <v>39</v>
      </c>
    </row>
    <row r="669" spans="1:21" x14ac:dyDescent="0.35">
      <c r="A669" t="s">
        <v>783</v>
      </c>
      <c r="B669" s="1">
        <v>45433</v>
      </c>
      <c r="C669">
        <v>2024</v>
      </c>
      <c r="D669" t="s">
        <v>186</v>
      </c>
      <c r="E669" t="s">
        <v>187</v>
      </c>
      <c r="F669" t="s">
        <v>43</v>
      </c>
      <c r="G669" t="s">
        <v>188</v>
      </c>
      <c r="H669" t="s">
        <v>128</v>
      </c>
      <c r="I669" t="s">
        <v>129</v>
      </c>
      <c r="J669" t="s">
        <v>47</v>
      </c>
      <c r="K669" t="s">
        <v>48</v>
      </c>
      <c r="L669" t="s">
        <v>38</v>
      </c>
      <c r="M669">
        <v>6</v>
      </c>
      <c r="N669">
        <v>399.99</v>
      </c>
      <c r="O669">
        <v>2399.94</v>
      </c>
      <c r="P669">
        <v>0.08</v>
      </c>
      <c r="Q669">
        <v>192</v>
      </c>
      <c r="R669">
        <v>2207.94</v>
      </c>
      <c r="S669">
        <v>176.64</v>
      </c>
      <c r="T669">
        <v>2384.58</v>
      </c>
      <c r="U669" t="s">
        <v>39</v>
      </c>
    </row>
    <row r="670" spans="1:21" x14ac:dyDescent="0.35">
      <c r="A670" t="s">
        <v>784</v>
      </c>
      <c r="B670" s="1">
        <v>45433</v>
      </c>
      <c r="C670">
        <v>2024</v>
      </c>
      <c r="D670" t="s">
        <v>51</v>
      </c>
      <c r="E670" t="s">
        <v>52</v>
      </c>
      <c r="F670" t="s">
        <v>24</v>
      </c>
      <c r="G670" t="s">
        <v>53</v>
      </c>
      <c r="H670" t="s">
        <v>58</v>
      </c>
      <c r="I670" t="s">
        <v>59</v>
      </c>
      <c r="J670" t="s">
        <v>56</v>
      </c>
      <c r="K670" t="s">
        <v>68</v>
      </c>
      <c r="L670" t="s">
        <v>38</v>
      </c>
      <c r="M670">
        <v>11</v>
      </c>
      <c r="N670">
        <v>599.99</v>
      </c>
      <c r="O670">
        <v>6599.89</v>
      </c>
      <c r="P670">
        <v>0.13</v>
      </c>
      <c r="Q670">
        <v>857.99</v>
      </c>
      <c r="R670">
        <v>5741.9</v>
      </c>
      <c r="S670">
        <v>459.35</v>
      </c>
      <c r="T670">
        <v>6201.25</v>
      </c>
      <c r="U670" t="s">
        <v>39</v>
      </c>
    </row>
    <row r="671" spans="1:21" x14ac:dyDescent="0.35">
      <c r="A671" t="s">
        <v>785</v>
      </c>
      <c r="B671" s="1">
        <v>45435</v>
      </c>
      <c r="C671">
        <v>2024</v>
      </c>
      <c r="D671" t="s">
        <v>75</v>
      </c>
      <c r="E671" t="s">
        <v>76</v>
      </c>
      <c r="F671" t="s">
        <v>64</v>
      </c>
      <c r="G671" t="s">
        <v>77</v>
      </c>
      <c r="H671" t="s">
        <v>145</v>
      </c>
      <c r="I671" t="s">
        <v>146</v>
      </c>
      <c r="J671" t="s">
        <v>47</v>
      </c>
      <c r="K671" t="s">
        <v>37</v>
      </c>
      <c r="L671" t="s">
        <v>73</v>
      </c>
      <c r="M671">
        <v>9</v>
      </c>
      <c r="N671">
        <v>129.99</v>
      </c>
      <c r="O671">
        <v>1169.9100000000001</v>
      </c>
      <c r="P671">
        <v>0</v>
      </c>
      <c r="Q671">
        <v>0</v>
      </c>
      <c r="R671">
        <v>1169.9100000000001</v>
      </c>
      <c r="S671">
        <v>93.59</v>
      </c>
      <c r="T671">
        <v>1263.5</v>
      </c>
      <c r="U671" t="s">
        <v>39</v>
      </c>
    </row>
    <row r="672" spans="1:21" x14ac:dyDescent="0.35">
      <c r="A672" t="s">
        <v>786</v>
      </c>
      <c r="B672" s="1">
        <v>45435</v>
      </c>
      <c r="C672">
        <v>2024</v>
      </c>
      <c r="D672" t="s">
        <v>91</v>
      </c>
      <c r="E672" t="s">
        <v>92</v>
      </c>
      <c r="F672" t="s">
        <v>24</v>
      </c>
      <c r="G672" t="s">
        <v>93</v>
      </c>
      <c r="H672" t="s">
        <v>208</v>
      </c>
      <c r="I672" t="s">
        <v>209</v>
      </c>
      <c r="J672" t="s">
        <v>47</v>
      </c>
      <c r="K672" t="s">
        <v>37</v>
      </c>
      <c r="L672" t="s">
        <v>30</v>
      </c>
      <c r="M672">
        <v>1</v>
      </c>
      <c r="N672">
        <v>49.99</v>
      </c>
      <c r="O672">
        <v>49.99</v>
      </c>
      <c r="P672">
        <v>0</v>
      </c>
      <c r="Q672">
        <v>0</v>
      </c>
      <c r="R672">
        <v>49.99</v>
      </c>
      <c r="S672">
        <v>4</v>
      </c>
      <c r="T672">
        <v>53.99</v>
      </c>
      <c r="U672" t="s">
        <v>39</v>
      </c>
    </row>
    <row r="673" spans="1:21" x14ac:dyDescent="0.35">
      <c r="A673" t="s">
        <v>787</v>
      </c>
      <c r="B673" s="1">
        <v>45438</v>
      </c>
      <c r="C673">
        <v>2024</v>
      </c>
      <c r="D673" t="s">
        <v>33</v>
      </c>
      <c r="E673" t="s">
        <v>34</v>
      </c>
      <c r="F673" t="s">
        <v>35</v>
      </c>
      <c r="G673" t="s">
        <v>36</v>
      </c>
      <c r="H673" t="s">
        <v>66</v>
      </c>
      <c r="I673" t="s">
        <v>67</v>
      </c>
      <c r="J673" t="s">
        <v>56</v>
      </c>
      <c r="K673" t="s">
        <v>68</v>
      </c>
      <c r="L673" t="s">
        <v>30</v>
      </c>
      <c r="M673">
        <v>26</v>
      </c>
      <c r="N673">
        <v>229.99</v>
      </c>
      <c r="O673">
        <v>5979.74</v>
      </c>
      <c r="P673">
        <v>0.08</v>
      </c>
      <c r="Q673">
        <v>478.38</v>
      </c>
      <c r="R673">
        <v>5501.36</v>
      </c>
      <c r="S673">
        <v>440.11</v>
      </c>
      <c r="T673">
        <v>5941.47</v>
      </c>
      <c r="U673" t="s">
        <v>39</v>
      </c>
    </row>
    <row r="674" spans="1:21" x14ac:dyDescent="0.35">
      <c r="A674" t="s">
        <v>788</v>
      </c>
      <c r="B674" s="1">
        <v>45441</v>
      </c>
      <c r="C674">
        <v>2024</v>
      </c>
      <c r="D674" t="s">
        <v>91</v>
      </c>
      <c r="E674" t="s">
        <v>92</v>
      </c>
      <c r="F674" t="s">
        <v>24</v>
      </c>
      <c r="G674" t="s">
        <v>93</v>
      </c>
      <c r="H674" t="s">
        <v>94</v>
      </c>
      <c r="I674" t="s">
        <v>95</v>
      </c>
      <c r="J674" t="s">
        <v>56</v>
      </c>
      <c r="K674" t="s">
        <v>37</v>
      </c>
      <c r="L674" t="s">
        <v>49</v>
      </c>
      <c r="M674">
        <v>26</v>
      </c>
      <c r="N674">
        <v>349.99</v>
      </c>
      <c r="O674">
        <v>9099.74</v>
      </c>
      <c r="P674">
        <v>0.08</v>
      </c>
      <c r="Q674">
        <v>727.98</v>
      </c>
      <c r="R674">
        <v>8371.76</v>
      </c>
      <c r="S674">
        <v>669.74</v>
      </c>
      <c r="T674">
        <v>9041.5</v>
      </c>
      <c r="U674" t="s">
        <v>111</v>
      </c>
    </row>
    <row r="675" spans="1:21" x14ac:dyDescent="0.35">
      <c r="A675" t="s">
        <v>789</v>
      </c>
      <c r="B675" s="1">
        <v>45442</v>
      </c>
      <c r="C675">
        <v>2024</v>
      </c>
      <c r="D675" t="s">
        <v>22</v>
      </c>
      <c r="E675" t="s">
        <v>23</v>
      </c>
      <c r="F675" t="s">
        <v>24</v>
      </c>
      <c r="G675" t="s">
        <v>25</v>
      </c>
      <c r="H675" t="s">
        <v>145</v>
      </c>
      <c r="I675" t="s">
        <v>146</v>
      </c>
      <c r="J675" t="s">
        <v>47</v>
      </c>
      <c r="K675" t="s">
        <v>37</v>
      </c>
      <c r="L675" t="s">
        <v>49</v>
      </c>
      <c r="M675">
        <v>19</v>
      </c>
      <c r="N675">
        <v>129.99</v>
      </c>
      <c r="O675">
        <v>2469.81</v>
      </c>
      <c r="P675">
        <v>0.05</v>
      </c>
      <c r="Q675">
        <v>123.49</v>
      </c>
      <c r="R675">
        <v>2346.3200000000002</v>
      </c>
      <c r="S675">
        <v>187.71</v>
      </c>
      <c r="T675">
        <v>2534.0300000000002</v>
      </c>
      <c r="U675" t="s">
        <v>39</v>
      </c>
    </row>
    <row r="676" spans="1:21" x14ac:dyDescent="0.35">
      <c r="A676" t="s">
        <v>790</v>
      </c>
      <c r="B676" s="1">
        <v>45442</v>
      </c>
      <c r="C676">
        <v>2024</v>
      </c>
      <c r="D676" t="s">
        <v>186</v>
      </c>
      <c r="E676" t="s">
        <v>187</v>
      </c>
      <c r="F676" t="s">
        <v>43</v>
      </c>
      <c r="G676" t="s">
        <v>188</v>
      </c>
      <c r="H676" t="s">
        <v>145</v>
      </c>
      <c r="I676" t="s">
        <v>146</v>
      </c>
      <c r="J676" t="s">
        <v>47</v>
      </c>
      <c r="K676" t="s">
        <v>29</v>
      </c>
      <c r="L676" t="s">
        <v>49</v>
      </c>
      <c r="M676">
        <v>11</v>
      </c>
      <c r="N676">
        <v>129.99</v>
      </c>
      <c r="O676">
        <v>1429.89</v>
      </c>
      <c r="P676">
        <v>0.05</v>
      </c>
      <c r="Q676">
        <v>71.489999999999995</v>
      </c>
      <c r="R676">
        <v>1358.4</v>
      </c>
      <c r="S676">
        <v>108.67</v>
      </c>
      <c r="T676">
        <v>1467.07</v>
      </c>
      <c r="U676" t="s">
        <v>39</v>
      </c>
    </row>
    <row r="677" spans="1:21" x14ac:dyDescent="0.35">
      <c r="A677" t="s">
        <v>791</v>
      </c>
      <c r="B677" s="1">
        <v>45443</v>
      </c>
      <c r="C677">
        <v>2024</v>
      </c>
      <c r="D677" t="s">
        <v>62</v>
      </c>
      <c r="E677" t="s">
        <v>63</v>
      </c>
      <c r="F677" t="s">
        <v>64</v>
      </c>
      <c r="G677" t="s">
        <v>65</v>
      </c>
      <c r="H677" t="s">
        <v>58</v>
      </c>
      <c r="I677" t="s">
        <v>59</v>
      </c>
      <c r="J677" t="s">
        <v>56</v>
      </c>
      <c r="K677" t="s">
        <v>37</v>
      </c>
      <c r="L677" t="s">
        <v>73</v>
      </c>
      <c r="M677">
        <v>23</v>
      </c>
      <c r="N677">
        <v>599.99</v>
      </c>
      <c r="O677">
        <v>13799.77</v>
      </c>
      <c r="P677">
        <v>0.08</v>
      </c>
      <c r="Q677">
        <v>1103.98</v>
      </c>
      <c r="R677">
        <v>12695.79</v>
      </c>
      <c r="S677">
        <v>1015.66</v>
      </c>
      <c r="T677">
        <v>13711.45</v>
      </c>
      <c r="U677" t="s">
        <v>39</v>
      </c>
    </row>
    <row r="678" spans="1:21" x14ac:dyDescent="0.35">
      <c r="A678" t="s">
        <v>792</v>
      </c>
      <c r="B678" s="1">
        <v>45445</v>
      </c>
      <c r="C678">
        <v>2024</v>
      </c>
      <c r="D678" t="s">
        <v>51</v>
      </c>
      <c r="E678" t="s">
        <v>52</v>
      </c>
      <c r="F678" t="s">
        <v>24</v>
      </c>
      <c r="G678" t="s">
        <v>53</v>
      </c>
      <c r="H678" t="s">
        <v>58</v>
      </c>
      <c r="I678" t="s">
        <v>59</v>
      </c>
      <c r="J678" t="s">
        <v>56</v>
      </c>
      <c r="K678" t="s">
        <v>60</v>
      </c>
      <c r="L678" t="s">
        <v>69</v>
      </c>
      <c r="M678">
        <v>5</v>
      </c>
      <c r="N678">
        <v>599.99</v>
      </c>
      <c r="O678">
        <v>2999.95</v>
      </c>
      <c r="P678">
        <v>0</v>
      </c>
      <c r="Q678">
        <v>0</v>
      </c>
      <c r="R678">
        <v>2999.95</v>
      </c>
      <c r="S678">
        <v>240</v>
      </c>
      <c r="T678">
        <v>3239.95</v>
      </c>
      <c r="U678" t="s">
        <v>39</v>
      </c>
    </row>
    <row r="679" spans="1:21" x14ac:dyDescent="0.35">
      <c r="A679" t="s">
        <v>793</v>
      </c>
      <c r="B679" s="1">
        <v>45446</v>
      </c>
      <c r="C679">
        <v>2024</v>
      </c>
      <c r="D679" t="s">
        <v>97</v>
      </c>
      <c r="E679" t="s">
        <v>98</v>
      </c>
      <c r="F679" t="s">
        <v>35</v>
      </c>
      <c r="G679" t="s">
        <v>99</v>
      </c>
      <c r="H679" t="s">
        <v>100</v>
      </c>
      <c r="I679" t="s">
        <v>101</v>
      </c>
      <c r="J679" t="s">
        <v>47</v>
      </c>
      <c r="K679" t="s">
        <v>60</v>
      </c>
      <c r="L679" t="s">
        <v>30</v>
      </c>
      <c r="M679">
        <v>11</v>
      </c>
      <c r="N679">
        <v>29.99</v>
      </c>
      <c r="O679">
        <v>329.89</v>
      </c>
      <c r="P679">
        <v>0.05</v>
      </c>
      <c r="Q679">
        <v>16.489999999999998</v>
      </c>
      <c r="R679">
        <v>313.39999999999998</v>
      </c>
      <c r="S679">
        <v>25.07</v>
      </c>
      <c r="T679">
        <v>338.47</v>
      </c>
      <c r="U679" t="s">
        <v>39</v>
      </c>
    </row>
    <row r="680" spans="1:21" x14ac:dyDescent="0.35">
      <c r="A680" t="s">
        <v>794</v>
      </c>
      <c r="B680" s="1">
        <v>45447</v>
      </c>
      <c r="C680">
        <v>2024</v>
      </c>
      <c r="D680" t="s">
        <v>51</v>
      </c>
      <c r="E680" t="s">
        <v>52</v>
      </c>
      <c r="F680" t="s">
        <v>24</v>
      </c>
      <c r="G680" t="s">
        <v>53</v>
      </c>
      <c r="H680" t="s">
        <v>125</v>
      </c>
      <c r="I680" t="s">
        <v>126</v>
      </c>
      <c r="J680" t="s">
        <v>28</v>
      </c>
      <c r="K680" t="s">
        <v>37</v>
      </c>
      <c r="L680" t="s">
        <v>69</v>
      </c>
      <c r="M680">
        <v>27</v>
      </c>
      <c r="N680">
        <v>79.989999999999995</v>
      </c>
      <c r="O680">
        <v>2159.73</v>
      </c>
      <c r="P680">
        <v>0.08</v>
      </c>
      <c r="Q680">
        <v>172.78</v>
      </c>
      <c r="R680">
        <v>1986.95</v>
      </c>
      <c r="S680">
        <v>158.96</v>
      </c>
      <c r="T680">
        <v>2145.91</v>
      </c>
      <c r="U680" t="s">
        <v>39</v>
      </c>
    </row>
    <row r="681" spans="1:21" x14ac:dyDescent="0.35">
      <c r="A681" t="s">
        <v>795</v>
      </c>
      <c r="B681" s="1">
        <v>45448</v>
      </c>
      <c r="C681">
        <v>2024</v>
      </c>
      <c r="D681" t="s">
        <v>75</v>
      </c>
      <c r="E681" t="s">
        <v>76</v>
      </c>
      <c r="F681" t="s">
        <v>64</v>
      </c>
      <c r="G681" t="s">
        <v>77</v>
      </c>
      <c r="H681" t="s">
        <v>58</v>
      </c>
      <c r="I681" t="s">
        <v>59</v>
      </c>
      <c r="J681" t="s">
        <v>56</v>
      </c>
      <c r="K681" t="s">
        <v>68</v>
      </c>
      <c r="L681" t="s">
        <v>38</v>
      </c>
      <c r="M681">
        <v>19</v>
      </c>
      <c r="N681">
        <v>599.99</v>
      </c>
      <c r="O681">
        <v>11399.81</v>
      </c>
      <c r="P681">
        <v>0.13</v>
      </c>
      <c r="Q681">
        <v>1481.98</v>
      </c>
      <c r="R681">
        <v>9917.83</v>
      </c>
      <c r="S681">
        <v>793.43</v>
      </c>
      <c r="T681">
        <v>0</v>
      </c>
      <c r="U681" t="s">
        <v>31</v>
      </c>
    </row>
    <row r="682" spans="1:21" x14ac:dyDescent="0.35">
      <c r="A682" t="s">
        <v>796</v>
      </c>
      <c r="B682" s="1">
        <v>45449</v>
      </c>
      <c r="C682">
        <v>2024</v>
      </c>
      <c r="D682" t="s">
        <v>33</v>
      </c>
      <c r="E682" t="s">
        <v>34</v>
      </c>
      <c r="F682" t="s">
        <v>35</v>
      </c>
      <c r="G682" t="s">
        <v>36</v>
      </c>
      <c r="H682" t="s">
        <v>84</v>
      </c>
      <c r="I682" t="s">
        <v>85</v>
      </c>
      <c r="J682" t="s">
        <v>47</v>
      </c>
      <c r="K682" t="s">
        <v>29</v>
      </c>
      <c r="L682" t="s">
        <v>49</v>
      </c>
      <c r="M682">
        <v>24</v>
      </c>
      <c r="N682">
        <v>249.99</v>
      </c>
      <c r="O682">
        <v>5999.76</v>
      </c>
      <c r="P682">
        <v>0.08</v>
      </c>
      <c r="Q682">
        <v>479.98</v>
      </c>
      <c r="R682">
        <v>5519.78</v>
      </c>
      <c r="S682">
        <v>441.58</v>
      </c>
      <c r="T682">
        <v>5961.36</v>
      </c>
      <c r="U682" t="s">
        <v>39</v>
      </c>
    </row>
    <row r="683" spans="1:21" x14ac:dyDescent="0.35">
      <c r="A683" t="s">
        <v>797</v>
      </c>
      <c r="B683" s="1">
        <v>45452</v>
      </c>
      <c r="C683">
        <v>2024</v>
      </c>
      <c r="D683" t="s">
        <v>33</v>
      </c>
      <c r="E683" t="s">
        <v>34</v>
      </c>
      <c r="F683" t="s">
        <v>35</v>
      </c>
      <c r="G683" t="s">
        <v>36</v>
      </c>
      <c r="H683" t="s">
        <v>66</v>
      </c>
      <c r="I683" t="s">
        <v>67</v>
      </c>
      <c r="J683" t="s">
        <v>56</v>
      </c>
      <c r="K683" t="s">
        <v>60</v>
      </c>
      <c r="L683" t="s">
        <v>49</v>
      </c>
      <c r="M683">
        <v>6</v>
      </c>
      <c r="N683">
        <v>229.99</v>
      </c>
      <c r="O683">
        <v>1379.94</v>
      </c>
      <c r="P683">
        <v>0</v>
      </c>
      <c r="Q683">
        <v>0</v>
      </c>
      <c r="R683">
        <v>1379.94</v>
      </c>
      <c r="S683">
        <v>110.4</v>
      </c>
      <c r="T683">
        <v>1490.34</v>
      </c>
      <c r="U683" t="s">
        <v>111</v>
      </c>
    </row>
    <row r="684" spans="1:21" x14ac:dyDescent="0.35">
      <c r="A684" t="s">
        <v>798</v>
      </c>
      <c r="B684" s="1">
        <v>45452</v>
      </c>
      <c r="C684">
        <v>2024</v>
      </c>
      <c r="D684" t="s">
        <v>81</v>
      </c>
      <c r="E684" t="s">
        <v>82</v>
      </c>
      <c r="F684" t="s">
        <v>35</v>
      </c>
      <c r="G684" t="s">
        <v>83</v>
      </c>
      <c r="H684" t="s">
        <v>125</v>
      </c>
      <c r="I684" t="s">
        <v>126</v>
      </c>
      <c r="J684" t="s">
        <v>28</v>
      </c>
      <c r="K684" t="s">
        <v>48</v>
      </c>
      <c r="L684" t="s">
        <v>49</v>
      </c>
      <c r="M684">
        <v>18</v>
      </c>
      <c r="N684">
        <v>79.989999999999995</v>
      </c>
      <c r="O684">
        <v>1439.82</v>
      </c>
      <c r="P684">
        <v>0.05</v>
      </c>
      <c r="Q684">
        <v>71.989999999999995</v>
      </c>
      <c r="R684">
        <v>1367.83</v>
      </c>
      <c r="S684">
        <v>109.43</v>
      </c>
      <c r="T684">
        <v>1477.26</v>
      </c>
      <c r="U684" t="s">
        <v>111</v>
      </c>
    </row>
    <row r="685" spans="1:21" x14ac:dyDescent="0.35">
      <c r="A685" t="s">
        <v>799</v>
      </c>
      <c r="B685" s="1">
        <v>45453</v>
      </c>
      <c r="C685">
        <v>2024</v>
      </c>
      <c r="D685" t="s">
        <v>62</v>
      </c>
      <c r="E685" t="s">
        <v>63</v>
      </c>
      <c r="F685" t="s">
        <v>64</v>
      </c>
      <c r="G685" t="s">
        <v>65</v>
      </c>
      <c r="H685" t="s">
        <v>145</v>
      </c>
      <c r="I685" t="s">
        <v>146</v>
      </c>
      <c r="J685" t="s">
        <v>47</v>
      </c>
      <c r="K685" t="s">
        <v>29</v>
      </c>
      <c r="L685" t="s">
        <v>73</v>
      </c>
      <c r="M685">
        <v>9</v>
      </c>
      <c r="N685">
        <v>129.99</v>
      </c>
      <c r="O685">
        <v>1169.9100000000001</v>
      </c>
      <c r="P685">
        <v>0</v>
      </c>
      <c r="Q685">
        <v>0</v>
      </c>
      <c r="R685">
        <v>1169.9100000000001</v>
      </c>
      <c r="S685">
        <v>93.59</v>
      </c>
      <c r="T685">
        <v>1263.5</v>
      </c>
      <c r="U685" t="s">
        <v>39</v>
      </c>
    </row>
    <row r="686" spans="1:21" x14ac:dyDescent="0.35">
      <c r="A686" t="s">
        <v>800</v>
      </c>
      <c r="B686" s="1">
        <v>45454</v>
      </c>
      <c r="C686">
        <v>2024</v>
      </c>
      <c r="D686" t="s">
        <v>107</v>
      </c>
      <c r="E686" t="s">
        <v>108</v>
      </c>
      <c r="F686" t="s">
        <v>35</v>
      </c>
      <c r="G686" t="s">
        <v>109</v>
      </c>
      <c r="H686" t="s">
        <v>26</v>
      </c>
      <c r="I686" t="s">
        <v>27</v>
      </c>
      <c r="J686" t="s">
        <v>28</v>
      </c>
      <c r="K686" t="s">
        <v>29</v>
      </c>
      <c r="L686" t="s">
        <v>73</v>
      </c>
      <c r="M686">
        <v>19</v>
      </c>
      <c r="N686">
        <v>8.99</v>
      </c>
      <c r="O686">
        <v>170.81</v>
      </c>
      <c r="P686">
        <v>0.05</v>
      </c>
      <c r="Q686">
        <v>8.5399999999999991</v>
      </c>
      <c r="R686">
        <v>162.27000000000001</v>
      </c>
      <c r="S686">
        <v>12.98</v>
      </c>
      <c r="T686">
        <v>175.25</v>
      </c>
      <c r="U686" t="s">
        <v>39</v>
      </c>
    </row>
    <row r="687" spans="1:21" x14ac:dyDescent="0.35">
      <c r="A687" t="s">
        <v>801</v>
      </c>
      <c r="B687" s="1">
        <v>45454</v>
      </c>
      <c r="C687">
        <v>2024</v>
      </c>
      <c r="D687" t="s">
        <v>22</v>
      </c>
      <c r="E687" t="s">
        <v>23</v>
      </c>
      <c r="F687" t="s">
        <v>24</v>
      </c>
      <c r="G687" t="s">
        <v>25</v>
      </c>
      <c r="H687" t="s">
        <v>104</v>
      </c>
      <c r="I687" t="s">
        <v>105</v>
      </c>
      <c r="J687" t="s">
        <v>47</v>
      </c>
      <c r="K687" t="s">
        <v>48</v>
      </c>
      <c r="L687" t="s">
        <v>69</v>
      </c>
      <c r="M687">
        <v>20</v>
      </c>
      <c r="N687">
        <v>479.99</v>
      </c>
      <c r="O687">
        <v>9599.7999999999993</v>
      </c>
      <c r="P687">
        <v>0.08</v>
      </c>
      <c r="Q687">
        <v>767.98</v>
      </c>
      <c r="R687">
        <v>8831.82</v>
      </c>
      <c r="S687">
        <v>706.55</v>
      </c>
      <c r="T687">
        <v>9538.3700000000008</v>
      </c>
      <c r="U687" t="s">
        <v>39</v>
      </c>
    </row>
    <row r="688" spans="1:21" x14ac:dyDescent="0.35">
      <c r="A688" t="s">
        <v>802</v>
      </c>
      <c r="B688" s="1">
        <v>45461</v>
      </c>
      <c r="C688">
        <v>2024</v>
      </c>
      <c r="D688" t="s">
        <v>107</v>
      </c>
      <c r="E688" t="s">
        <v>108</v>
      </c>
      <c r="F688" t="s">
        <v>35</v>
      </c>
      <c r="G688" t="s">
        <v>109</v>
      </c>
      <c r="H688" t="s">
        <v>94</v>
      </c>
      <c r="I688" t="s">
        <v>95</v>
      </c>
      <c r="J688" t="s">
        <v>56</v>
      </c>
      <c r="K688" t="s">
        <v>60</v>
      </c>
      <c r="L688" t="s">
        <v>73</v>
      </c>
      <c r="M688">
        <v>29</v>
      </c>
      <c r="N688">
        <v>349.99</v>
      </c>
      <c r="O688">
        <v>10149.709999999999</v>
      </c>
      <c r="P688">
        <v>0.08</v>
      </c>
      <c r="Q688">
        <v>811.98</v>
      </c>
      <c r="R688">
        <v>9337.73</v>
      </c>
      <c r="S688">
        <v>747.02</v>
      </c>
      <c r="T688">
        <v>10084.75</v>
      </c>
      <c r="U688" t="s">
        <v>39</v>
      </c>
    </row>
    <row r="689" spans="1:21" x14ac:dyDescent="0.35">
      <c r="A689" t="s">
        <v>803</v>
      </c>
      <c r="B689" s="1">
        <v>45461</v>
      </c>
      <c r="C689">
        <v>2024</v>
      </c>
      <c r="D689" t="s">
        <v>107</v>
      </c>
      <c r="E689" t="s">
        <v>108</v>
      </c>
      <c r="F689" t="s">
        <v>35</v>
      </c>
      <c r="G689" t="s">
        <v>109</v>
      </c>
      <c r="H689" t="s">
        <v>45</v>
      </c>
      <c r="I689" t="s">
        <v>46</v>
      </c>
      <c r="J689" t="s">
        <v>47</v>
      </c>
      <c r="K689" t="s">
        <v>60</v>
      </c>
      <c r="L689" t="s">
        <v>73</v>
      </c>
      <c r="M689">
        <v>4</v>
      </c>
      <c r="N689">
        <v>89.99</v>
      </c>
      <c r="O689">
        <v>359.96</v>
      </c>
      <c r="P689">
        <v>0</v>
      </c>
      <c r="Q689">
        <v>0</v>
      </c>
      <c r="R689">
        <v>359.96</v>
      </c>
      <c r="S689">
        <v>28.8</v>
      </c>
      <c r="T689">
        <v>388.76</v>
      </c>
      <c r="U689" t="s">
        <v>39</v>
      </c>
    </row>
    <row r="690" spans="1:21" x14ac:dyDescent="0.35">
      <c r="A690" t="s">
        <v>804</v>
      </c>
      <c r="B690" s="1">
        <v>45461</v>
      </c>
      <c r="C690">
        <v>2024</v>
      </c>
      <c r="D690" t="s">
        <v>75</v>
      </c>
      <c r="E690" t="s">
        <v>76</v>
      </c>
      <c r="F690" t="s">
        <v>64</v>
      </c>
      <c r="G690" t="s">
        <v>77</v>
      </c>
      <c r="H690" t="s">
        <v>104</v>
      </c>
      <c r="I690" t="s">
        <v>105</v>
      </c>
      <c r="J690" t="s">
        <v>47</v>
      </c>
      <c r="K690" t="s">
        <v>68</v>
      </c>
      <c r="L690" t="s">
        <v>38</v>
      </c>
      <c r="M690">
        <v>8</v>
      </c>
      <c r="N690">
        <v>479.99</v>
      </c>
      <c r="O690">
        <v>3839.92</v>
      </c>
      <c r="P690">
        <v>0.08</v>
      </c>
      <c r="Q690">
        <v>307.19</v>
      </c>
      <c r="R690">
        <v>3532.73</v>
      </c>
      <c r="S690">
        <v>282.62</v>
      </c>
      <c r="T690">
        <v>3815.35</v>
      </c>
      <c r="U690" t="s">
        <v>39</v>
      </c>
    </row>
    <row r="691" spans="1:21" x14ac:dyDescent="0.35">
      <c r="A691" t="s">
        <v>805</v>
      </c>
      <c r="B691" s="1">
        <v>45463</v>
      </c>
      <c r="C691">
        <v>2024</v>
      </c>
      <c r="D691" t="s">
        <v>81</v>
      </c>
      <c r="E691" t="s">
        <v>82</v>
      </c>
      <c r="F691" t="s">
        <v>35</v>
      </c>
      <c r="G691" t="s">
        <v>83</v>
      </c>
      <c r="H691" t="s">
        <v>208</v>
      </c>
      <c r="I691" t="s">
        <v>209</v>
      </c>
      <c r="J691" t="s">
        <v>47</v>
      </c>
      <c r="K691" t="s">
        <v>37</v>
      </c>
      <c r="L691" t="s">
        <v>30</v>
      </c>
      <c r="M691">
        <v>22</v>
      </c>
      <c r="N691">
        <v>49.99</v>
      </c>
      <c r="O691">
        <v>1099.78</v>
      </c>
      <c r="P691">
        <v>0.08</v>
      </c>
      <c r="Q691">
        <v>87.98</v>
      </c>
      <c r="R691">
        <v>1011.8</v>
      </c>
      <c r="S691">
        <v>80.94</v>
      </c>
      <c r="T691">
        <v>1092.74</v>
      </c>
      <c r="U691" t="s">
        <v>39</v>
      </c>
    </row>
    <row r="692" spans="1:21" x14ac:dyDescent="0.35">
      <c r="A692" t="s">
        <v>806</v>
      </c>
      <c r="B692" s="1">
        <v>45467</v>
      </c>
      <c r="C692">
        <v>2024</v>
      </c>
      <c r="D692" t="s">
        <v>87</v>
      </c>
      <c r="E692" t="s">
        <v>88</v>
      </c>
      <c r="F692" t="s">
        <v>24</v>
      </c>
      <c r="G692" t="s">
        <v>89</v>
      </c>
      <c r="H692" t="s">
        <v>45</v>
      </c>
      <c r="I692" t="s">
        <v>46</v>
      </c>
      <c r="J692" t="s">
        <v>47</v>
      </c>
      <c r="K692" t="s">
        <v>37</v>
      </c>
      <c r="L692" t="s">
        <v>38</v>
      </c>
      <c r="M692">
        <v>5</v>
      </c>
      <c r="N692">
        <v>89.99</v>
      </c>
      <c r="O692">
        <v>449.95</v>
      </c>
      <c r="P692">
        <v>0.08</v>
      </c>
      <c r="Q692">
        <v>36</v>
      </c>
      <c r="R692">
        <v>413.95</v>
      </c>
      <c r="S692">
        <v>33.119999999999997</v>
      </c>
      <c r="T692">
        <v>447.07</v>
      </c>
      <c r="U692" t="s">
        <v>111</v>
      </c>
    </row>
    <row r="693" spans="1:21" x14ac:dyDescent="0.35">
      <c r="A693" t="s">
        <v>807</v>
      </c>
      <c r="B693" s="1">
        <v>45468</v>
      </c>
      <c r="C693">
        <v>2024</v>
      </c>
      <c r="D693" t="s">
        <v>91</v>
      </c>
      <c r="E693" t="s">
        <v>92</v>
      </c>
      <c r="F693" t="s">
        <v>24</v>
      </c>
      <c r="G693" t="s">
        <v>93</v>
      </c>
      <c r="H693" t="s">
        <v>45</v>
      </c>
      <c r="I693" t="s">
        <v>46</v>
      </c>
      <c r="J693" t="s">
        <v>47</v>
      </c>
      <c r="K693" t="s">
        <v>29</v>
      </c>
      <c r="L693" t="s">
        <v>69</v>
      </c>
      <c r="M693">
        <v>22</v>
      </c>
      <c r="N693">
        <v>89.99</v>
      </c>
      <c r="O693">
        <v>1979.78</v>
      </c>
      <c r="P693">
        <v>0.08</v>
      </c>
      <c r="Q693">
        <v>158.38</v>
      </c>
      <c r="R693">
        <v>1821.4</v>
      </c>
      <c r="S693">
        <v>145.71</v>
      </c>
      <c r="T693">
        <v>1967.11</v>
      </c>
      <c r="U693" t="s">
        <v>39</v>
      </c>
    </row>
    <row r="694" spans="1:21" x14ac:dyDescent="0.35">
      <c r="A694" t="s">
        <v>808</v>
      </c>
      <c r="B694" s="1">
        <v>45468</v>
      </c>
      <c r="C694">
        <v>2024</v>
      </c>
      <c r="D694" t="s">
        <v>81</v>
      </c>
      <c r="E694" t="s">
        <v>82</v>
      </c>
      <c r="F694" t="s">
        <v>35</v>
      </c>
      <c r="G694" t="s">
        <v>83</v>
      </c>
      <c r="H694" t="s">
        <v>84</v>
      </c>
      <c r="I694" t="s">
        <v>85</v>
      </c>
      <c r="J694" t="s">
        <v>47</v>
      </c>
      <c r="K694" t="s">
        <v>29</v>
      </c>
      <c r="L694" t="s">
        <v>73</v>
      </c>
      <c r="M694">
        <v>29</v>
      </c>
      <c r="N694">
        <v>249.99</v>
      </c>
      <c r="O694">
        <v>7249.71</v>
      </c>
      <c r="P694">
        <v>0.08</v>
      </c>
      <c r="Q694">
        <v>579.98</v>
      </c>
      <c r="R694">
        <v>6669.73</v>
      </c>
      <c r="S694">
        <v>533.58000000000004</v>
      </c>
      <c r="T694">
        <v>7203.31</v>
      </c>
      <c r="U694" t="s">
        <v>111</v>
      </c>
    </row>
    <row r="695" spans="1:21" x14ac:dyDescent="0.35">
      <c r="A695" t="s">
        <v>809</v>
      </c>
      <c r="B695" s="1">
        <v>45471</v>
      </c>
      <c r="C695">
        <v>2024</v>
      </c>
      <c r="D695" t="s">
        <v>41</v>
      </c>
      <c r="E695" t="s">
        <v>42</v>
      </c>
      <c r="F695" t="s">
        <v>43</v>
      </c>
      <c r="G695" t="s">
        <v>44</v>
      </c>
      <c r="H695" t="s">
        <v>45</v>
      </c>
      <c r="I695" t="s">
        <v>46</v>
      </c>
      <c r="J695" t="s">
        <v>47</v>
      </c>
      <c r="K695" t="s">
        <v>29</v>
      </c>
      <c r="L695" t="s">
        <v>38</v>
      </c>
      <c r="M695">
        <v>18</v>
      </c>
      <c r="N695">
        <v>89.99</v>
      </c>
      <c r="O695">
        <v>1619.82</v>
      </c>
      <c r="P695">
        <v>0.13</v>
      </c>
      <c r="Q695">
        <v>210.58</v>
      </c>
      <c r="R695">
        <v>1409.24</v>
      </c>
      <c r="S695">
        <v>112.74</v>
      </c>
      <c r="T695">
        <v>0</v>
      </c>
      <c r="U695" t="s">
        <v>31</v>
      </c>
    </row>
    <row r="696" spans="1:21" x14ac:dyDescent="0.35">
      <c r="A696" t="s">
        <v>810</v>
      </c>
      <c r="B696" s="1">
        <v>45475</v>
      </c>
      <c r="C696">
        <v>2024</v>
      </c>
      <c r="D696" t="s">
        <v>41</v>
      </c>
      <c r="E696" t="s">
        <v>42</v>
      </c>
      <c r="F696" t="s">
        <v>43</v>
      </c>
      <c r="G696" t="s">
        <v>44</v>
      </c>
      <c r="H696" t="s">
        <v>84</v>
      </c>
      <c r="I696" t="s">
        <v>85</v>
      </c>
      <c r="J696" t="s">
        <v>47</v>
      </c>
      <c r="K696" t="s">
        <v>29</v>
      </c>
      <c r="L696" t="s">
        <v>30</v>
      </c>
      <c r="M696">
        <v>25</v>
      </c>
      <c r="N696">
        <v>249.99</v>
      </c>
      <c r="O696">
        <v>6249.75</v>
      </c>
      <c r="P696">
        <v>0.08</v>
      </c>
      <c r="Q696">
        <v>499.98</v>
      </c>
      <c r="R696">
        <v>5749.77</v>
      </c>
      <c r="S696">
        <v>459.98</v>
      </c>
      <c r="T696">
        <v>6209.75</v>
      </c>
      <c r="U696" t="s">
        <v>39</v>
      </c>
    </row>
    <row r="697" spans="1:21" x14ac:dyDescent="0.35">
      <c r="A697" t="s">
        <v>811</v>
      </c>
      <c r="B697" s="1">
        <v>45476</v>
      </c>
      <c r="C697">
        <v>2024</v>
      </c>
      <c r="D697" t="s">
        <v>186</v>
      </c>
      <c r="E697" t="s">
        <v>187</v>
      </c>
      <c r="F697" t="s">
        <v>43</v>
      </c>
      <c r="G697" t="s">
        <v>188</v>
      </c>
      <c r="H697" t="s">
        <v>145</v>
      </c>
      <c r="I697" t="s">
        <v>146</v>
      </c>
      <c r="J697" t="s">
        <v>47</v>
      </c>
      <c r="K697" t="s">
        <v>48</v>
      </c>
      <c r="L697" t="s">
        <v>38</v>
      </c>
      <c r="M697">
        <v>2</v>
      </c>
      <c r="N697">
        <v>129.99</v>
      </c>
      <c r="O697">
        <v>259.98</v>
      </c>
      <c r="P697">
        <v>0.08</v>
      </c>
      <c r="Q697">
        <v>20.8</v>
      </c>
      <c r="R697">
        <v>239.18</v>
      </c>
      <c r="S697">
        <v>19.13</v>
      </c>
      <c r="T697">
        <v>258.31</v>
      </c>
      <c r="U697" t="s">
        <v>39</v>
      </c>
    </row>
    <row r="698" spans="1:21" x14ac:dyDescent="0.35">
      <c r="A698" t="s">
        <v>812</v>
      </c>
      <c r="B698" s="1">
        <v>45476</v>
      </c>
      <c r="C698">
        <v>2024</v>
      </c>
      <c r="D698" t="s">
        <v>91</v>
      </c>
      <c r="E698" t="s">
        <v>92</v>
      </c>
      <c r="F698" t="s">
        <v>24</v>
      </c>
      <c r="G698" t="s">
        <v>93</v>
      </c>
      <c r="H698" t="s">
        <v>104</v>
      </c>
      <c r="I698" t="s">
        <v>105</v>
      </c>
      <c r="J698" t="s">
        <v>47</v>
      </c>
      <c r="K698" t="s">
        <v>29</v>
      </c>
      <c r="L698" t="s">
        <v>69</v>
      </c>
      <c r="M698">
        <v>2</v>
      </c>
      <c r="N698">
        <v>479.99</v>
      </c>
      <c r="O698">
        <v>959.98</v>
      </c>
      <c r="P698">
        <v>0</v>
      </c>
      <c r="Q698">
        <v>0</v>
      </c>
      <c r="R698">
        <v>959.98</v>
      </c>
      <c r="S698">
        <v>76.8</v>
      </c>
      <c r="T698">
        <v>1036.78</v>
      </c>
      <c r="U698" t="s">
        <v>39</v>
      </c>
    </row>
    <row r="699" spans="1:21" x14ac:dyDescent="0.35">
      <c r="A699" t="s">
        <v>813</v>
      </c>
      <c r="B699" s="1">
        <v>45478</v>
      </c>
      <c r="C699">
        <v>2024</v>
      </c>
      <c r="D699" t="s">
        <v>107</v>
      </c>
      <c r="E699" t="s">
        <v>108</v>
      </c>
      <c r="F699" t="s">
        <v>35</v>
      </c>
      <c r="G699" t="s">
        <v>109</v>
      </c>
      <c r="H699" t="s">
        <v>78</v>
      </c>
      <c r="I699" t="s">
        <v>79</v>
      </c>
      <c r="J699" t="s">
        <v>28</v>
      </c>
      <c r="K699" t="s">
        <v>29</v>
      </c>
      <c r="L699" t="s">
        <v>69</v>
      </c>
      <c r="M699">
        <v>28</v>
      </c>
      <c r="N699">
        <v>5.99</v>
      </c>
      <c r="O699">
        <v>167.72</v>
      </c>
      <c r="P699">
        <v>0.08</v>
      </c>
      <c r="Q699">
        <v>13.42</v>
      </c>
      <c r="R699">
        <v>154.30000000000001</v>
      </c>
      <c r="S699">
        <v>12.34</v>
      </c>
      <c r="T699">
        <v>0</v>
      </c>
      <c r="U699" t="s">
        <v>31</v>
      </c>
    </row>
    <row r="700" spans="1:21" x14ac:dyDescent="0.35">
      <c r="A700" t="s">
        <v>814</v>
      </c>
      <c r="B700" s="1">
        <v>45480</v>
      </c>
      <c r="C700">
        <v>2024</v>
      </c>
      <c r="D700" t="s">
        <v>22</v>
      </c>
      <c r="E700" t="s">
        <v>23</v>
      </c>
      <c r="F700" t="s">
        <v>24</v>
      </c>
      <c r="G700" t="s">
        <v>25</v>
      </c>
      <c r="H700" t="s">
        <v>45</v>
      </c>
      <c r="I700" t="s">
        <v>46</v>
      </c>
      <c r="J700" t="s">
        <v>47</v>
      </c>
      <c r="K700" t="s">
        <v>37</v>
      </c>
      <c r="L700" t="s">
        <v>30</v>
      </c>
      <c r="M700">
        <v>15</v>
      </c>
      <c r="N700">
        <v>89.99</v>
      </c>
      <c r="O700">
        <v>1349.85</v>
      </c>
      <c r="P700">
        <v>0.05</v>
      </c>
      <c r="Q700">
        <v>67.489999999999995</v>
      </c>
      <c r="R700">
        <v>1282.3599999999999</v>
      </c>
      <c r="S700">
        <v>102.59</v>
      </c>
      <c r="T700">
        <v>1384.95</v>
      </c>
      <c r="U700" t="s">
        <v>39</v>
      </c>
    </row>
    <row r="701" spans="1:21" x14ac:dyDescent="0.35">
      <c r="A701" t="s">
        <v>815</v>
      </c>
      <c r="B701" s="1">
        <v>45482</v>
      </c>
      <c r="C701">
        <v>2024</v>
      </c>
      <c r="D701" t="s">
        <v>107</v>
      </c>
      <c r="E701" t="s">
        <v>108</v>
      </c>
      <c r="F701" t="s">
        <v>35</v>
      </c>
      <c r="G701" t="s">
        <v>109</v>
      </c>
      <c r="H701" t="s">
        <v>71</v>
      </c>
      <c r="I701" t="s">
        <v>72</v>
      </c>
      <c r="J701" t="s">
        <v>47</v>
      </c>
      <c r="K701" t="s">
        <v>29</v>
      </c>
      <c r="L701" t="s">
        <v>30</v>
      </c>
      <c r="M701">
        <v>23</v>
      </c>
      <c r="N701">
        <v>1199.99</v>
      </c>
      <c r="O701">
        <v>27599.77</v>
      </c>
      <c r="P701">
        <v>0.08</v>
      </c>
      <c r="Q701">
        <v>2207.98</v>
      </c>
      <c r="R701">
        <v>25391.79</v>
      </c>
      <c r="S701">
        <v>2031.34</v>
      </c>
      <c r="T701">
        <v>27423.13</v>
      </c>
      <c r="U701" t="s">
        <v>39</v>
      </c>
    </row>
    <row r="702" spans="1:21" x14ac:dyDescent="0.35">
      <c r="A702" t="s">
        <v>816</v>
      </c>
      <c r="B702" s="1">
        <v>45484</v>
      </c>
      <c r="C702">
        <v>2024</v>
      </c>
      <c r="D702" t="s">
        <v>51</v>
      </c>
      <c r="E702" t="s">
        <v>52</v>
      </c>
      <c r="F702" t="s">
        <v>24</v>
      </c>
      <c r="G702" t="s">
        <v>53</v>
      </c>
      <c r="H702" t="s">
        <v>26</v>
      </c>
      <c r="I702" t="s">
        <v>27</v>
      </c>
      <c r="J702" t="s">
        <v>28</v>
      </c>
      <c r="K702" t="s">
        <v>68</v>
      </c>
      <c r="L702" t="s">
        <v>69</v>
      </c>
      <c r="M702">
        <v>6</v>
      </c>
      <c r="N702">
        <v>8.99</v>
      </c>
      <c r="O702">
        <v>53.94</v>
      </c>
      <c r="P702">
        <v>0</v>
      </c>
      <c r="Q702">
        <v>0</v>
      </c>
      <c r="R702">
        <v>53.94</v>
      </c>
      <c r="S702">
        <v>4.32</v>
      </c>
      <c r="T702">
        <v>58.26</v>
      </c>
      <c r="U702" t="s">
        <v>39</v>
      </c>
    </row>
    <row r="703" spans="1:21" x14ac:dyDescent="0.35">
      <c r="A703" t="s">
        <v>817</v>
      </c>
      <c r="B703" s="1">
        <v>45485</v>
      </c>
      <c r="C703">
        <v>2024</v>
      </c>
      <c r="D703" t="s">
        <v>91</v>
      </c>
      <c r="E703" t="s">
        <v>92</v>
      </c>
      <c r="F703" t="s">
        <v>24</v>
      </c>
      <c r="G703" t="s">
        <v>93</v>
      </c>
      <c r="H703" t="s">
        <v>58</v>
      </c>
      <c r="I703" t="s">
        <v>59</v>
      </c>
      <c r="J703" t="s">
        <v>56</v>
      </c>
      <c r="K703" t="s">
        <v>48</v>
      </c>
      <c r="L703" t="s">
        <v>73</v>
      </c>
      <c r="M703">
        <v>21</v>
      </c>
      <c r="N703">
        <v>599.99</v>
      </c>
      <c r="O703">
        <v>12599.79</v>
      </c>
      <c r="P703">
        <v>0.08</v>
      </c>
      <c r="Q703">
        <v>1007.98</v>
      </c>
      <c r="R703">
        <v>11591.81</v>
      </c>
      <c r="S703">
        <v>927.34</v>
      </c>
      <c r="T703">
        <v>0</v>
      </c>
      <c r="U703" t="s">
        <v>31</v>
      </c>
    </row>
    <row r="704" spans="1:21" x14ac:dyDescent="0.35">
      <c r="A704" t="s">
        <v>818</v>
      </c>
      <c r="B704" s="1">
        <v>45488</v>
      </c>
      <c r="C704">
        <v>2024</v>
      </c>
      <c r="D704" t="s">
        <v>62</v>
      </c>
      <c r="E704" t="s">
        <v>63</v>
      </c>
      <c r="F704" t="s">
        <v>64</v>
      </c>
      <c r="G704" t="s">
        <v>65</v>
      </c>
      <c r="H704" t="s">
        <v>145</v>
      </c>
      <c r="I704" t="s">
        <v>146</v>
      </c>
      <c r="J704" t="s">
        <v>47</v>
      </c>
      <c r="K704" t="s">
        <v>60</v>
      </c>
      <c r="L704" t="s">
        <v>38</v>
      </c>
      <c r="M704">
        <v>16</v>
      </c>
      <c r="N704">
        <v>129.99</v>
      </c>
      <c r="O704">
        <v>2079.84</v>
      </c>
      <c r="P704">
        <v>0.13</v>
      </c>
      <c r="Q704">
        <v>270.38</v>
      </c>
      <c r="R704">
        <v>1809.46</v>
      </c>
      <c r="S704">
        <v>144.76</v>
      </c>
      <c r="T704">
        <v>1954.22</v>
      </c>
      <c r="U704" t="s">
        <v>39</v>
      </c>
    </row>
    <row r="705" spans="1:21" x14ac:dyDescent="0.35">
      <c r="A705" t="s">
        <v>819</v>
      </c>
      <c r="B705" s="1">
        <v>45488</v>
      </c>
      <c r="C705">
        <v>2024</v>
      </c>
      <c r="D705" t="s">
        <v>122</v>
      </c>
      <c r="E705" t="s">
        <v>123</v>
      </c>
      <c r="F705" t="s">
        <v>64</v>
      </c>
      <c r="G705" t="s">
        <v>124</v>
      </c>
      <c r="H705" t="s">
        <v>100</v>
      </c>
      <c r="I705" t="s">
        <v>101</v>
      </c>
      <c r="J705" t="s">
        <v>47</v>
      </c>
      <c r="K705" t="s">
        <v>48</v>
      </c>
      <c r="L705" t="s">
        <v>30</v>
      </c>
      <c r="M705">
        <v>17</v>
      </c>
      <c r="N705">
        <v>29.99</v>
      </c>
      <c r="O705">
        <v>509.83</v>
      </c>
      <c r="P705">
        <v>0.05</v>
      </c>
      <c r="Q705">
        <v>25.49</v>
      </c>
      <c r="R705">
        <v>484.34</v>
      </c>
      <c r="S705">
        <v>38.75</v>
      </c>
      <c r="T705">
        <v>523.09</v>
      </c>
      <c r="U705" t="s">
        <v>39</v>
      </c>
    </row>
    <row r="706" spans="1:21" x14ac:dyDescent="0.35">
      <c r="A706" t="s">
        <v>820</v>
      </c>
      <c r="B706" s="1">
        <v>45489</v>
      </c>
      <c r="C706">
        <v>2024</v>
      </c>
      <c r="D706" t="s">
        <v>75</v>
      </c>
      <c r="E706" t="s">
        <v>76</v>
      </c>
      <c r="F706" t="s">
        <v>64</v>
      </c>
      <c r="G706" t="s">
        <v>77</v>
      </c>
      <c r="H706" t="s">
        <v>26</v>
      </c>
      <c r="I706" t="s">
        <v>27</v>
      </c>
      <c r="J706" t="s">
        <v>28</v>
      </c>
      <c r="K706" t="s">
        <v>37</v>
      </c>
      <c r="L706" t="s">
        <v>69</v>
      </c>
      <c r="M706">
        <v>1</v>
      </c>
      <c r="N706">
        <v>8.99</v>
      </c>
      <c r="O706">
        <v>8.99</v>
      </c>
      <c r="P706">
        <v>0</v>
      </c>
      <c r="Q706">
        <v>0</v>
      </c>
      <c r="R706">
        <v>8.99</v>
      </c>
      <c r="S706">
        <v>0.72</v>
      </c>
      <c r="T706">
        <v>9.7100000000000009</v>
      </c>
      <c r="U706" t="s">
        <v>39</v>
      </c>
    </row>
    <row r="707" spans="1:21" x14ac:dyDescent="0.35">
      <c r="A707" t="s">
        <v>821</v>
      </c>
      <c r="B707" s="1">
        <v>45490</v>
      </c>
      <c r="C707">
        <v>2024</v>
      </c>
      <c r="D707" t="s">
        <v>148</v>
      </c>
      <c r="E707" t="s">
        <v>149</v>
      </c>
      <c r="F707" t="s">
        <v>43</v>
      </c>
      <c r="G707" t="s">
        <v>150</v>
      </c>
      <c r="H707" t="s">
        <v>54</v>
      </c>
      <c r="I707" t="s">
        <v>55</v>
      </c>
      <c r="J707" t="s">
        <v>56</v>
      </c>
      <c r="K707" t="s">
        <v>68</v>
      </c>
      <c r="L707" t="s">
        <v>73</v>
      </c>
      <c r="M707">
        <v>28</v>
      </c>
      <c r="N707">
        <v>39.99</v>
      </c>
      <c r="O707">
        <v>1119.72</v>
      </c>
      <c r="P707">
        <v>0.08</v>
      </c>
      <c r="Q707">
        <v>89.58</v>
      </c>
      <c r="R707">
        <v>1030.1400000000001</v>
      </c>
      <c r="S707">
        <v>82.41</v>
      </c>
      <c r="T707">
        <v>0</v>
      </c>
      <c r="U707" t="s">
        <v>31</v>
      </c>
    </row>
    <row r="708" spans="1:21" x14ac:dyDescent="0.35">
      <c r="A708" t="s">
        <v>822</v>
      </c>
      <c r="B708" s="1">
        <v>45490</v>
      </c>
      <c r="C708">
        <v>2024</v>
      </c>
      <c r="D708" t="s">
        <v>41</v>
      </c>
      <c r="E708" t="s">
        <v>42</v>
      </c>
      <c r="F708" t="s">
        <v>43</v>
      </c>
      <c r="G708" t="s">
        <v>44</v>
      </c>
      <c r="H708" t="s">
        <v>128</v>
      </c>
      <c r="I708" t="s">
        <v>129</v>
      </c>
      <c r="J708" t="s">
        <v>47</v>
      </c>
      <c r="K708" t="s">
        <v>37</v>
      </c>
      <c r="L708" t="s">
        <v>69</v>
      </c>
      <c r="M708">
        <v>18</v>
      </c>
      <c r="N708">
        <v>399.99</v>
      </c>
      <c r="O708">
        <v>7199.82</v>
      </c>
      <c r="P708">
        <v>0.05</v>
      </c>
      <c r="Q708">
        <v>359.99</v>
      </c>
      <c r="R708">
        <v>6839.83</v>
      </c>
      <c r="S708">
        <v>547.19000000000005</v>
      </c>
      <c r="T708">
        <v>7387.02</v>
      </c>
      <c r="U708" t="s">
        <v>111</v>
      </c>
    </row>
    <row r="709" spans="1:21" x14ac:dyDescent="0.35">
      <c r="A709" t="s">
        <v>823</v>
      </c>
      <c r="B709" s="1">
        <v>45492</v>
      </c>
      <c r="C709">
        <v>2024</v>
      </c>
      <c r="D709" t="s">
        <v>75</v>
      </c>
      <c r="E709" t="s">
        <v>76</v>
      </c>
      <c r="F709" t="s">
        <v>64</v>
      </c>
      <c r="G709" t="s">
        <v>77</v>
      </c>
      <c r="H709" t="s">
        <v>58</v>
      </c>
      <c r="I709" t="s">
        <v>59</v>
      </c>
      <c r="J709" t="s">
        <v>56</v>
      </c>
      <c r="K709" t="s">
        <v>29</v>
      </c>
      <c r="L709" t="s">
        <v>69</v>
      </c>
      <c r="M709">
        <v>19</v>
      </c>
      <c r="N709">
        <v>599.99</v>
      </c>
      <c r="O709">
        <v>11399.81</v>
      </c>
      <c r="P709">
        <v>0.05</v>
      </c>
      <c r="Q709">
        <v>569.99</v>
      </c>
      <c r="R709">
        <v>10829.82</v>
      </c>
      <c r="S709">
        <v>866.39</v>
      </c>
      <c r="T709">
        <v>11696.21</v>
      </c>
      <c r="U709" t="s">
        <v>111</v>
      </c>
    </row>
    <row r="710" spans="1:21" x14ac:dyDescent="0.35">
      <c r="A710" t="s">
        <v>824</v>
      </c>
      <c r="B710" s="1">
        <v>45494</v>
      </c>
      <c r="C710">
        <v>2024</v>
      </c>
      <c r="D710" t="s">
        <v>107</v>
      </c>
      <c r="E710" t="s">
        <v>108</v>
      </c>
      <c r="F710" t="s">
        <v>35</v>
      </c>
      <c r="G710" t="s">
        <v>109</v>
      </c>
      <c r="H710" t="s">
        <v>45</v>
      </c>
      <c r="I710" t="s">
        <v>46</v>
      </c>
      <c r="J710" t="s">
        <v>47</v>
      </c>
      <c r="K710" t="s">
        <v>29</v>
      </c>
      <c r="L710" t="s">
        <v>38</v>
      </c>
      <c r="M710">
        <v>3</v>
      </c>
      <c r="N710">
        <v>89.99</v>
      </c>
      <c r="O710">
        <v>269.97000000000003</v>
      </c>
      <c r="P710">
        <v>0.08</v>
      </c>
      <c r="Q710">
        <v>21.6</v>
      </c>
      <c r="R710">
        <v>248.37</v>
      </c>
      <c r="S710">
        <v>19.87</v>
      </c>
      <c r="T710">
        <v>268.24</v>
      </c>
      <c r="U710" t="s">
        <v>39</v>
      </c>
    </row>
    <row r="711" spans="1:21" x14ac:dyDescent="0.35">
      <c r="A711" t="s">
        <v>825</v>
      </c>
      <c r="B711" s="1">
        <v>45495</v>
      </c>
      <c r="C711">
        <v>2024</v>
      </c>
      <c r="D711" t="s">
        <v>33</v>
      </c>
      <c r="E711" t="s">
        <v>34</v>
      </c>
      <c r="F711" t="s">
        <v>35</v>
      </c>
      <c r="G711" t="s">
        <v>36</v>
      </c>
      <c r="H711" t="s">
        <v>58</v>
      </c>
      <c r="I711" t="s">
        <v>59</v>
      </c>
      <c r="J711" t="s">
        <v>56</v>
      </c>
      <c r="K711" t="s">
        <v>60</v>
      </c>
      <c r="L711" t="s">
        <v>69</v>
      </c>
      <c r="M711">
        <v>26</v>
      </c>
      <c r="N711">
        <v>599.99</v>
      </c>
      <c r="O711">
        <v>15599.74</v>
      </c>
      <c r="P711">
        <v>0.08</v>
      </c>
      <c r="Q711">
        <v>1247.98</v>
      </c>
      <c r="R711">
        <v>14351.76</v>
      </c>
      <c r="S711">
        <v>1148.1400000000001</v>
      </c>
      <c r="T711">
        <v>15499.9</v>
      </c>
      <c r="U711" t="s">
        <v>39</v>
      </c>
    </row>
    <row r="712" spans="1:21" x14ac:dyDescent="0.35">
      <c r="A712" t="s">
        <v>826</v>
      </c>
      <c r="B712" s="1">
        <v>45495</v>
      </c>
      <c r="C712">
        <v>2024</v>
      </c>
      <c r="D712" t="s">
        <v>97</v>
      </c>
      <c r="E712" t="s">
        <v>98</v>
      </c>
      <c r="F712" t="s">
        <v>35</v>
      </c>
      <c r="G712" t="s">
        <v>99</v>
      </c>
      <c r="H712" t="s">
        <v>58</v>
      </c>
      <c r="I712" t="s">
        <v>59</v>
      </c>
      <c r="J712" t="s">
        <v>56</v>
      </c>
      <c r="K712" t="s">
        <v>68</v>
      </c>
      <c r="L712" t="s">
        <v>69</v>
      </c>
      <c r="M712">
        <v>18</v>
      </c>
      <c r="N712">
        <v>599.99</v>
      </c>
      <c r="O712">
        <v>10799.82</v>
      </c>
      <c r="P712">
        <v>0.05</v>
      </c>
      <c r="Q712">
        <v>539.99</v>
      </c>
      <c r="R712">
        <v>10259.83</v>
      </c>
      <c r="S712">
        <v>820.79</v>
      </c>
      <c r="T712">
        <v>11080.62</v>
      </c>
      <c r="U712" t="s">
        <v>39</v>
      </c>
    </row>
    <row r="713" spans="1:21" x14ac:dyDescent="0.35">
      <c r="A713" t="s">
        <v>827</v>
      </c>
      <c r="B713" s="1">
        <v>45495</v>
      </c>
      <c r="C713">
        <v>2024</v>
      </c>
      <c r="D713" t="s">
        <v>142</v>
      </c>
      <c r="E713" t="s">
        <v>143</v>
      </c>
      <c r="F713" t="s">
        <v>43</v>
      </c>
      <c r="G713" t="s">
        <v>144</v>
      </c>
      <c r="H713" t="s">
        <v>78</v>
      </c>
      <c r="I713" t="s">
        <v>79</v>
      </c>
      <c r="J713" t="s">
        <v>28</v>
      </c>
      <c r="K713" t="s">
        <v>37</v>
      </c>
      <c r="L713" t="s">
        <v>49</v>
      </c>
      <c r="M713">
        <v>17</v>
      </c>
      <c r="N713">
        <v>5.99</v>
      </c>
      <c r="O713">
        <v>101.83</v>
      </c>
      <c r="P713">
        <v>0.05</v>
      </c>
      <c r="Q713">
        <v>5.09</v>
      </c>
      <c r="R713">
        <v>96.74</v>
      </c>
      <c r="S713">
        <v>7.74</v>
      </c>
      <c r="T713">
        <v>104.48</v>
      </c>
      <c r="U713" t="s">
        <v>39</v>
      </c>
    </row>
    <row r="714" spans="1:21" x14ac:dyDescent="0.35">
      <c r="A714" t="s">
        <v>828</v>
      </c>
      <c r="B714" s="1">
        <v>45497</v>
      </c>
      <c r="C714">
        <v>2024</v>
      </c>
      <c r="D714" t="s">
        <v>75</v>
      </c>
      <c r="E714" t="s">
        <v>76</v>
      </c>
      <c r="F714" t="s">
        <v>64</v>
      </c>
      <c r="G714" t="s">
        <v>77</v>
      </c>
      <c r="H714" t="s">
        <v>145</v>
      </c>
      <c r="I714" t="s">
        <v>146</v>
      </c>
      <c r="J714" t="s">
        <v>47</v>
      </c>
      <c r="K714" t="s">
        <v>48</v>
      </c>
      <c r="L714" t="s">
        <v>30</v>
      </c>
      <c r="M714">
        <v>23</v>
      </c>
      <c r="N714">
        <v>129.99</v>
      </c>
      <c r="O714">
        <v>2989.77</v>
      </c>
      <c r="P714">
        <v>0.08</v>
      </c>
      <c r="Q714">
        <v>239.18</v>
      </c>
      <c r="R714">
        <v>2750.59</v>
      </c>
      <c r="S714">
        <v>220.05</v>
      </c>
      <c r="T714">
        <v>2970.64</v>
      </c>
      <c r="U714" t="s">
        <v>111</v>
      </c>
    </row>
    <row r="715" spans="1:21" x14ac:dyDescent="0.35">
      <c r="A715" t="s">
        <v>829</v>
      </c>
      <c r="B715" s="1">
        <v>45498</v>
      </c>
      <c r="C715">
        <v>2024</v>
      </c>
      <c r="D715" t="s">
        <v>41</v>
      </c>
      <c r="E715" t="s">
        <v>42</v>
      </c>
      <c r="F715" t="s">
        <v>43</v>
      </c>
      <c r="G715" t="s">
        <v>44</v>
      </c>
      <c r="H715" t="s">
        <v>125</v>
      </c>
      <c r="I715" t="s">
        <v>126</v>
      </c>
      <c r="J715" t="s">
        <v>28</v>
      </c>
      <c r="K715" t="s">
        <v>37</v>
      </c>
      <c r="L715" t="s">
        <v>73</v>
      </c>
      <c r="M715">
        <v>30</v>
      </c>
      <c r="N715">
        <v>79.989999999999995</v>
      </c>
      <c r="O715">
        <v>2399.6999999999998</v>
      </c>
      <c r="P715">
        <v>0.08</v>
      </c>
      <c r="Q715">
        <v>191.98</v>
      </c>
      <c r="R715">
        <v>2207.7199999999998</v>
      </c>
      <c r="S715">
        <v>176.62</v>
      </c>
      <c r="T715">
        <v>2384.34</v>
      </c>
      <c r="U715" t="s">
        <v>39</v>
      </c>
    </row>
    <row r="716" spans="1:21" x14ac:dyDescent="0.35">
      <c r="A716" t="s">
        <v>830</v>
      </c>
      <c r="B716" s="1">
        <v>45500</v>
      </c>
      <c r="C716">
        <v>2024</v>
      </c>
      <c r="D716" t="s">
        <v>33</v>
      </c>
      <c r="E716" t="s">
        <v>34</v>
      </c>
      <c r="F716" t="s">
        <v>35</v>
      </c>
      <c r="G716" t="s">
        <v>36</v>
      </c>
      <c r="H716" t="s">
        <v>84</v>
      </c>
      <c r="I716" t="s">
        <v>85</v>
      </c>
      <c r="J716" t="s">
        <v>47</v>
      </c>
      <c r="K716" t="s">
        <v>29</v>
      </c>
      <c r="L716" t="s">
        <v>38</v>
      </c>
      <c r="M716">
        <v>30</v>
      </c>
      <c r="N716">
        <v>249.99</v>
      </c>
      <c r="O716">
        <v>7499.7</v>
      </c>
      <c r="P716">
        <v>0.16</v>
      </c>
      <c r="Q716">
        <v>1199.95</v>
      </c>
      <c r="R716">
        <v>6299.75</v>
      </c>
      <c r="S716">
        <v>503.98</v>
      </c>
      <c r="T716">
        <v>6803.73</v>
      </c>
      <c r="U716" t="s">
        <v>39</v>
      </c>
    </row>
    <row r="717" spans="1:21" x14ac:dyDescent="0.35">
      <c r="A717" t="s">
        <v>831</v>
      </c>
      <c r="B717" s="1">
        <v>45501</v>
      </c>
      <c r="C717">
        <v>2024</v>
      </c>
      <c r="D717" t="s">
        <v>148</v>
      </c>
      <c r="E717" t="s">
        <v>149</v>
      </c>
      <c r="F717" t="s">
        <v>43</v>
      </c>
      <c r="G717" t="s">
        <v>150</v>
      </c>
      <c r="H717" t="s">
        <v>104</v>
      </c>
      <c r="I717" t="s">
        <v>105</v>
      </c>
      <c r="J717" t="s">
        <v>47</v>
      </c>
      <c r="K717" t="s">
        <v>29</v>
      </c>
      <c r="L717" t="s">
        <v>73</v>
      </c>
      <c r="M717">
        <v>11</v>
      </c>
      <c r="N717">
        <v>479.99</v>
      </c>
      <c r="O717">
        <v>5279.89</v>
      </c>
      <c r="P717">
        <v>0.05</v>
      </c>
      <c r="Q717">
        <v>263.99</v>
      </c>
      <c r="R717">
        <v>5015.8999999999996</v>
      </c>
      <c r="S717">
        <v>401.27</v>
      </c>
      <c r="T717">
        <v>5417.17</v>
      </c>
      <c r="U717" t="s">
        <v>39</v>
      </c>
    </row>
    <row r="718" spans="1:21" x14ac:dyDescent="0.35">
      <c r="A718" t="s">
        <v>832</v>
      </c>
      <c r="B718" s="1">
        <v>45501</v>
      </c>
      <c r="C718">
        <v>2024</v>
      </c>
      <c r="D718" t="s">
        <v>51</v>
      </c>
      <c r="E718" t="s">
        <v>52</v>
      </c>
      <c r="F718" t="s">
        <v>24</v>
      </c>
      <c r="G718" t="s">
        <v>53</v>
      </c>
      <c r="H718" t="s">
        <v>66</v>
      </c>
      <c r="I718" t="s">
        <v>67</v>
      </c>
      <c r="J718" t="s">
        <v>56</v>
      </c>
      <c r="K718" t="s">
        <v>48</v>
      </c>
      <c r="L718" t="s">
        <v>73</v>
      </c>
      <c r="M718">
        <v>23</v>
      </c>
      <c r="N718">
        <v>229.99</v>
      </c>
      <c r="O718">
        <v>5289.77</v>
      </c>
      <c r="P718">
        <v>0.08</v>
      </c>
      <c r="Q718">
        <v>423.18</v>
      </c>
      <c r="R718">
        <v>4866.59</v>
      </c>
      <c r="S718">
        <v>389.33</v>
      </c>
      <c r="T718">
        <v>5255.92</v>
      </c>
      <c r="U718" t="s">
        <v>39</v>
      </c>
    </row>
    <row r="719" spans="1:21" x14ac:dyDescent="0.35">
      <c r="A719" t="s">
        <v>833</v>
      </c>
      <c r="B719" s="1">
        <v>45502</v>
      </c>
      <c r="C719">
        <v>2024</v>
      </c>
      <c r="D719" t="s">
        <v>91</v>
      </c>
      <c r="E719" t="s">
        <v>92</v>
      </c>
      <c r="F719" t="s">
        <v>24</v>
      </c>
      <c r="G719" t="s">
        <v>93</v>
      </c>
      <c r="H719" t="s">
        <v>45</v>
      </c>
      <c r="I719" t="s">
        <v>46</v>
      </c>
      <c r="J719" t="s">
        <v>47</v>
      </c>
      <c r="K719" t="s">
        <v>29</v>
      </c>
      <c r="L719" t="s">
        <v>38</v>
      </c>
      <c r="M719">
        <v>4</v>
      </c>
      <c r="N719">
        <v>89.99</v>
      </c>
      <c r="O719">
        <v>359.96</v>
      </c>
      <c r="P719">
        <v>0.08</v>
      </c>
      <c r="Q719">
        <v>28.8</v>
      </c>
      <c r="R719">
        <v>331.16</v>
      </c>
      <c r="S719">
        <v>26.49</v>
      </c>
      <c r="T719">
        <v>357.65</v>
      </c>
      <c r="U719" t="s">
        <v>39</v>
      </c>
    </row>
    <row r="720" spans="1:21" x14ac:dyDescent="0.35">
      <c r="A720" t="s">
        <v>834</v>
      </c>
      <c r="B720" s="1">
        <v>45506</v>
      </c>
      <c r="C720">
        <v>2024</v>
      </c>
      <c r="D720" t="s">
        <v>91</v>
      </c>
      <c r="E720" t="s">
        <v>92</v>
      </c>
      <c r="F720" t="s">
        <v>24</v>
      </c>
      <c r="G720" t="s">
        <v>93</v>
      </c>
      <c r="H720" t="s">
        <v>128</v>
      </c>
      <c r="I720" t="s">
        <v>129</v>
      </c>
      <c r="J720" t="s">
        <v>47</v>
      </c>
      <c r="K720" t="s">
        <v>68</v>
      </c>
      <c r="L720" t="s">
        <v>49</v>
      </c>
      <c r="M720">
        <v>5</v>
      </c>
      <c r="N720">
        <v>399.99</v>
      </c>
      <c r="O720">
        <v>1999.95</v>
      </c>
      <c r="P720">
        <v>0</v>
      </c>
      <c r="Q720">
        <v>0</v>
      </c>
      <c r="R720">
        <v>1999.95</v>
      </c>
      <c r="S720">
        <v>160</v>
      </c>
      <c r="T720">
        <v>2159.9499999999998</v>
      </c>
      <c r="U720" t="s">
        <v>39</v>
      </c>
    </row>
    <row r="721" spans="1:21" x14ac:dyDescent="0.35">
      <c r="A721" t="s">
        <v>835</v>
      </c>
      <c r="B721" s="1">
        <v>45506</v>
      </c>
      <c r="C721">
        <v>2024</v>
      </c>
      <c r="D721" t="s">
        <v>91</v>
      </c>
      <c r="E721" t="s">
        <v>92</v>
      </c>
      <c r="F721" t="s">
        <v>24</v>
      </c>
      <c r="G721" t="s">
        <v>93</v>
      </c>
      <c r="H721" t="s">
        <v>78</v>
      </c>
      <c r="I721" t="s">
        <v>79</v>
      </c>
      <c r="J721" t="s">
        <v>28</v>
      </c>
      <c r="K721" t="s">
        <v>68</v>
      </c>
      <c r="L721" t="s">
        <v>38</v>
      </c>
      <c r="M721">
        <v>24</v>
      </c>
      <c r="N721">
        <v>5.99</v>
      </c>
      <c r="O721">
        <v>143.76</v>
      </c>
      <c r="P721">
        <v>0.16</v>
      </c>
      <c r="Q721">
        <v>23</v>
      </c>
      <c r="R721">
        <v>120.76</v>
      </c>
      <c r="S721">
        <v>9.66</v>
      </c>
      <c r="T721">
        <v>130.41999999999999</v>
      </c>
      <c r="U721" t="s">
        <v>39</v>
      </c>
    </row>
    <row r="722" spans="1:21" x14ac:dyDescent="0.35">
      <c r="A722" t="s">
        <v>836</v>
      </c>
      <c r="B722" s="1">
        <v>45506</v>
      </c>
      <c r="C722">
        <v>2024</v>
      </c>
      <c r="D722" t="s">
        <v>81</v>
      </c>
      <c r="E722" t="s">
        <v>82</v>
      </c>
      <c r="F722" t="s">
        <v>35</v>
      </c>
      <c r="G722" t="s">
        <v>83</v>
      </c>
      <c r="H722" t="s">
        <v>66</v>
      </c>
      <c r="I722" t="s">
        <v>67</v>
      </c>
      <c r="J722" t="s">
        <v>56</v>
      </c>
      <c r="K722" t="s">
        <v>48</v>
      </c>
      <c r="L722" t="s">
        <v>30</v>
      </c>
      <c r="M722">
        <v>26</v>
      </c>
      <c r="N722">
        <v>229.99</v>
      </c>
      <c r="O722">
        <v>5979.74</v>
      </c>
      <c r="P722">
        <v>0.08</v>
      </c>
      <c r="Q722">
        <v>478.38</v>
      </c>
      <c r="R722">
        <v>5501.36</v>
      </c>
      <c r="S722">
        <v>440.11</v>
      </c>
      <c r="T722">
        <v>0</v>
      </c>
      <c r="U722" t="s">
        <v>31</v>
      </c>
    </row>
    <row r="723" spans="1:21" x14ac:dyDescent="0.35">
      <c r="A723" t="s">
        <v>837</v>
      </c>
      <c r="B723" s="1">
        <v>45506</v>
      </c>
      <c r="C723">
        <v>2024</v>
      </c>
      <c r="D723" t="s">
        <v>81</v>
      </c>
      <c r="E723" t="s">
        <v>82</v>
      </c>
      <c r="F723" t="s">
        <v>35</v>
      </c>
      <c r="G723" t="s">
        <v>83</v>
      </c>
      <c r="H723" t="s">
        <v>208</v>
      </c>
      <c r="I723" t="s">
        <v>209</v>
      </c>
      <c r="J723" t="s">
        <v>47</v>
      </c>
      <c r="K723" t="s">
        <v>68</v>
      </c>
      <c r="L723" t="s">
        <v>38</v>
      </c>
      <c r="M723">
        <v>9</v>
      </c>
      <c r="N723">
        <v>49.99</v>
      </c>
      <c r="O723">
        <v>449.91</v>
      </c>
      <c r="P723">
        <v>0.08</v>
      </c>
      <c r="Q723">
        <v>35.99</v>
      </c>
      <c r="R723">
        <v>413.92</v>
      </c>
      <c r="S723">
        <v>33.11</v>
      </c>
      <c r="T723">
        <v>447.03</v>
      </c>
      <c r="U723" t="s">
        <v>39</v>
      </c>
    </row>
    <row r="724" spans="1:21" x14ac:dyDescent="0.35">
      <c r="A724" t="s">
        <v>838</v>
      </c>
      <c r="B724" s="1">
        <v>45508</v>
      </c>
      <c r="C724">
        <v>2024</v>
      </c>
      <c r="D724" t="s">
        <v>75</v>
      </c>
      <c r="E724" t="s">
        <v>76</v>
      </c>
      <c r="F724" t="s">
        <v>64</v>
      </c>
      <c r="G724" t="s">
        <v>77</v>
      </c>
      <c r="H724" t="s">
        <v>208</v>
      </c>
      <c r="I724" t="s">
        <v>209</v>
      </c>
      <c r="J724" t="s">
        <v>47</v>
      </c>
      <c r="K724" t="s">
        <v>29</v>
      </c>
      <c r="L724" t="s">
        <v>73</v>
      </c>
      <c r="M724">
        <v>2</v>
      </c>
      <c r="N724">
        <v>49.99</v>
      </c>
      <c r="O724">
        <v>99.98</v>
      </c>
      <c r="P724">
        <v>0</v>
      </c>
      <c r="Q724">
        <v>0</v>
      </c>
      <c r="R724">
        <v>99.98</v>
      </c>
      <c r="S724">
        <v>8</v>
      </c>
      <c r="T724">
        <v>107.98</v>
      </c>
      <c r="U724" t="s">
        <v>39</v>
      </c>
    </row>
    <row r="725" spans="1:21" x14ac:dyDescent="0.35">
      <c r="A725" t="s">
        <v>839</v>
      </c>
      <c r="B725" s="1">
        <v>45508</v>
      </c>
      <c r="C725">
        <v>2024</v>
      </c>
      <c r="D725" t="s">
        <v>186</v>
      </c>
      <c r="E725" t="s">
        <v>187</v>
      </c>
      <c r="F725" t="s">
        <v>43</v>
      </c>
      <c r="G725" t="s">
        <v>188</v>
      </c>
      <c r="H725" t="s">
        <v>45</v>
      </c>
      <c r="I725" t="s">
        <v>46</v>
      </c>
      <c r="J725" t="s">
        <v>47</v>
      </c>
      <c r="K725" t="s">
        <v>60</v>
      </c>
      <c r="L725" t="s">
        <v>30</v>
      </c>
      <c r="M725">
        <v>29</v>
      </c>
      <c r="N725">
        <v>89.99</v>
      </c>
      <c r="O725">
        <v>2609.71</v>
      </c>
      <c r="P725">
        <v>0.08</v>
      </c>
      <c r="Q725">
        <v>208.78</v>
      </c>
      <c r="R725">
        <v>2400.9299999999998</v>
      </c>
      <c r="S725">
        <v>192.07</v>
      </c>
      <c r="T725">
        <v>2593</v>
      </c>
      <c r="U725" t="s">
        <v>39</v>
      </c>
    </row>
    <row r="726" spans="1:21" x14ac:dyDescent="0.35">
      <c r="A726" t="s">
        <v>840</v>
      </c>
      <c r="B726" s="1">
        <v>45516</v>
      </c>
      <c r="C726">
        <v>2024</v>
      </c>
      <c r="D726" t="s">
        <v>62</v>
      </c>
      <c r="E726" t="s">
        <v>63</v>
      </c>
      <c r="F726" t="s">
        <v>64</v>
      </c>
      <c r="G726" t="s">
        <v>65</v>
      </c>
      <c r="H726" t="s">
        <v>84</v>
      </c>
      <c r="I726" t="s">
        <v>85</v>
      </c>
      <c r="J726" t="s">
        <v>47</v>
      </c>
      <c r="K726" t="s">
        <v>29</v>
      </c>
      <c r="L726" t="s">
        <v>49</v>
      </c>
      <c r="M726">
        <v>29</v>
      </c>
      <c r="N726">
        <v>249.99</v>
      </c>
      <c r="O726">
        <v>7249.71</v>
      </c>
      <c r="P726">
        <v>0.08</v>
      </c>
      <c r="Q726">
        <v>579.98</v>
      </c>
      <c r="R726">
        <v>6669.73</v>
      </c>
      <c r="S726">
        <v>533.58000000000004</v>
      </c>
      <c r="T726">
        <v>7203.31</v>
      </c>
      <c r="U726" t="s">
        <v>39</v>
      </c>
    </row>
    <row r="727" spans="1:21" x14ac:dyDescent="0.35">
      <c r="A727" t="s">
        <v>841</v>
      </c>
      <c r="B727" s="1">
        <v>45521</v>
      </c>
      <c r="C727">
        <v>2024</v>
      </c>
      <c r="D727" t="s">
        <v>186</v>
      </c>
      <c r="E727" t="s">
        <v>187</v>
      </c>
      <c r="F727" t="s">
        <v>43</v>
      </c>
      <c r="G727" t="s">
        <v>188</v>
      </c>
      <c r="H727" t="s">
        <v>66</v>
      </c>
      <c r="I727" t="s">
        <v>67</v>
      </c>
      <c r="J727" t="s">
        <v>56</v>
      </c>
      <c r="K727" t="s">
        <v>48</v>
      </c>
      <c r="L727" t="s">
        <v>73</v>
      </c>
      <c r="M727">
        <v>25</v>
      </c>
      <c r="N727">
        <v>229.99</v>
      </c>
      <c r="O727">
        <v>5749.75</v>
      </c>
      <c r="P727">
        <v>0.08</v>
      </c>
      <c r="Q727">
        <v>459.98</v>
      </c>
      <c r="R727">
        <v>5289.77</v>
      </c>
      <c r="S727">
        <v>423.18</v>
      </c>
      <c r="T727">
        <v>5712.95</v>
      </c>
      <c r="U727" t="s">
        <v>39</v>
      </c>
    </row>
    <row r="728" spans="1:21" x14ac:dyDescent="0.35">
      <c r="A728" t="s">
        <v>842</v>
      </c>
      <c r="B728" s="1">
        <v>45523</v>
      </c>
      <c r="C728">
        <v>2024</v>
      </c>
      <c r="D728" t="s">
        <v>51</v>
      </c>
      <c r="E728" t="s">
        <v>52</v>
      </c>
      <c r="F728" t="s">
        <v>24</v>
      </c>
      <c r="G728" t="s">
        <v>53</v>
      </c>
      <c r="H728" t="s">
        <v>58</v>
      </c>
      <c r="I728" t="s">
        <v>59</v>
      </c>
      <c r="J728" t="s">
        <v>56</v>
      </c>
      <c r="K728" t="s">
        <v>29</v>
      </c>
      <c r="L728" t="s">
        <v>69</v>
      </c>
      <c r="M728">
        <v>28</v>
      </c>
      <c r="N728">
        <v>599.99</v>
      </c>
      <c r="O728">
        <v>16799.72</v>
      </c>
      <c r="P728">
        <v>0.08</v>
      </c>
      <c r="Q728">
        <v>1343.98</v>
      </c>
      <c r="R728">
        <v>15455.74</v>
      </c>
      <c r="S728">
        <v>1236.46</v>
      </c>
      <c r="T728">
        <v>16692.2</v>
      </c>
      <c r="U728" t="s">
        <v>39</v>
      </c>
    </row>
    <row r="729" spans="1:21" x14ac:dyDescent="0.35">
      <c r="A729" t="s">
        <v>843</v>
      </c>
      <c r="B729" s="1">
        <v>45523</v>
      </c>
      <c r="C729">
        <v>2024</v>
      </c>
      <c r="D729" t="s">
        <v>22</v>
      </c>
      <c r="E729" t="s">
        <v>23</v>
      </c>
      <c r="F729" t="s">
        <v>24</v>
      </c>
      <c r="G729" t="s">
        <v>25</v>
      </c>
      <c r="H729" t="s">
        <v>94</v>
      </c>
      <c r="I729" t="s">
        <v>95</v>
      </c>
      <c r="J729" t="s">
        <v>56</v>
      </c>
      <c r="K729" t="s">
        <v>48</v>
      </c>
      <c r="L729" t="s">
        <v>69</v>
      </c>
      <c r="M729">
        <v>27</v>
      </c>
      <c r="N729">
        <v>349.99</v>
      </c>
      <c r="O729">
        <v>9449.73</v>
      </c>
      <c r="P729">
        <v>0.08</v>
      </c>
      <c r="Q729">
        <v>755.98</v>
      </c>
      <c r="R729">
        <v>8693.75</v>
      </c>
      <c r="S729">
        <v>695.5</v>
      </c>
      <c r="T729">
        <v>9389.25</v>
      </c>
      <c r="U729" t="s">
        <v>39</v>
      </c>
    </row>
    <row r="730" spans="1:21" x14ac:dyDescent="0.35">
      <c r="A730" t="s">
        <v>844</v>
      </c>
      <c r="B730" s="1">
        <v>45524</v>
      </c>
      <c r="C730">
        <v>2024</v>
      </c>
      <c r="D730" t="s">
        <v>97</v>
      </c>
      <c r="E730" t="s">
        <v>98</v>
      </c>
      <c r="F730" t="s">
        <v>35</v>
      </c>
      <c r="G730" t="s">
        <v>99</v>
      </c>
      <c r="H730" t="s">
        <v>128</v>
      </c>
      <c r="I730" t="s">
        <v>129</v>
      </c>
      <c r="J730" t="s">
        <v>47</v>
      </c>
      <c r="K730" t="s">
        <v>37</v>
      </c>
      <c r="L730" t="s">
        <v>69</v>
      </c>
      <c r="M730">
        <v>28</v>
      </c>
      <c r="N730">
        <v>399.99</v>
      </c>
      <c r="O730">
        <v>11199.72</v>
      </c>
      <c r="P730">
        <v>0.08</v>
      </c>
      <c r="Q730">
        <v>895.98</v>
      </c>
      <c r="R730">
        <v>10303.74</v>
      </c>
      <c r="S730">
        <v>824.3</v>
      </c>
      <c r="T730">
        <v>11128.04</v>
      </c>
      <c r="U730" t="s">
        <v>39</v>
      </c>
    </row>
    <row r="731" spans="1:21" x14ac:dyDescent="0.35">
      <c r="A731" t="s">
        <v>845</v>
      </c>
      <c r="B731" s="1">
        <v>45529</v>
      </c>
      <c r="C731">
        <v>2024</v>
      </c>
      <c r="D731" t="s">
        <v>51</v>
      </c>
      <c r="E731" t="s">
        <v>52</v>
      </c>
      <c r="F731" t="s">
        <v>24</v>
      </c>
      <c r="G731" t="s">
        <v>53</v>
      </c>
      <c r="H731" t="s">
        <v>125</v>
      </c>
      <c r="I731" t="s">
        <v>126</v>
      </c>
      <c r="J731" t="s">
        <v>28</v>
      </c>
      <c r="K731" t="s">
        <v>29</v>
      </c>
      <c r="L731" t="s">
        <v>38</v>
      </c>
      <c r="M731">
        <v>9</v>
      </c>
      <c r="N731">
        <v>79.989999999999995</v>
      </c>
      <c r="O731">
        <v>719.91</v>
      </c>
      <c r="P731">
        <v>0.08</v>
      </c>
      <c r="Q731">
        <v>57.59</v>
      </c>
      <c r="R731">
        <v>662.32</v>
      </c>
      <c r="S731">
        <v>52.99</v>
      </c>
      <c r="T731">
        <v>715.31</v>
      </c>
      <c r="U731" t="s">
        <v>39</v>
      </c>
    </row>
    <row r="732" spans="1:21" x14ac:dyDescent="0.35">
      <c r="A732" t="s">
        <v>846</v>
      </c>
      <c r="B732" s="1">
        <v>45533</v>
      </c>
      <c r="C732">
        <v>2024</v>
      </c>
      <c r="D732" t="s">
        <v>62</v>
      </c>
      <c r="E732" t="s">
        <v>63</v>
      </c>
      <c r="F732" t="s">
        <v>64</v>
      </c>
      <c r="G732" t="s">
        <v>65</v>
      </c>
      <c r="H732" t="s">
        <v>104</v>
      </c>
      <c r="I732" t="s">
        <v>105</v>
      </c>
      <c r="J732" t="s">
        <v>47</v>
      </c>
      <c r="K732" t="s">
        <v>48</v>
      </c>
      <c r="L732" t="s">
        <v>73</v>
      </c>
      <c r="M732">
        <v>4</v>
      </c>
      <c r="N732">
        <v>479.99</v>
      </c>
      <c r="O732">
        <v>1919.96</v>
      </c>
      <c r="P732">
        <v>0</v>
      </c>
      <c r="Q732">
        <v>0</v>
      </c>
      <c r="R732">
        <v>1919.96</v>
      </c>
      <c r="S732">
        <v>153.6</v>
      </c>
      <c r="T732">
        <v>2073.56</v>
      </c>
      <c r="U732" t="s">
        <v>39</v>
      </c>
    </row>
    <row r="733" spans="1:21" x14ac:dyDescent="0.35">
      <c r="A733" t="s">
        <v>847</v>
      </c>
      <c r="B733" s="1">
        <v>45534</v>
      </c>
      <c r="C733">
        <v>2024</v>
      </c>
      <c r="D733" t="s">
        <v>41</v>
      </c>
      <c r="E733" t="s">
        <v>42</v>
      </c>
      <c r="F733" t="s">
        <v>43</v>
      </c>
      <c r="G733" t="s">
        <v>44</v>
      </c>
      <c r="H733" t="s">
        <v>145</v>
      </c>
      <c r="I733" t="s">
        <v>146</v>
      </c>
      <c r="J733" t="s">
        <v>47</v>
      </c>
      <c r="K733" t="s">
        <v>60</v>
      </c>
      <c r="L733" t="s">
        <v>69</v>
      </c>
      <c r="M733">
        <v>9</v>
      </c>
      <c r="N733">
        <v>129.99</v>
      </c>
      <c r="O733">
        <v>1169.9100000000001</v>
      </c>
      <c r="P733">
        <v>0</v>
      </c>
      <c r="Q733">
        <v>0</v>
      </c>
      <c r="R733">
        <v>1169.9100000000001</v>
      </c>
      <c r="S733">
        <v>93.59</v>
      </c>
      <c r="T733">
        <v>0</v>
      </c>
      <c r="U733" t="s">
        <v>31</v>
      </c>
    </row>
    <row r="734" spans="1:21" x14ac:dyDescent="0.35">
      <c r="A734" t="s">
        <v>848</v>
      </c>
      <c r="B734" s="1">
        <v>45535</v>
      </c>
      <c r="C734">
        <v>2024</v>
      </c>
      <c r="D734" t="s">
        <v>122</v>
      </c>
      <c r="E734" t="s">
        <v>123</v>
      </c>
      <c r="F734" t="s">
        <v>64</v>
      </c>
      <c r="G734" t="s">
        <v>124</v>
      </c>
      <c r="H734" t="s">
        <v>104</v>
      </c>
      <c r="I734" t="s">
        <v>105</v>
      </c>
      <c r="J734" t="s">
        <v>47</v>
      </c>
      <c r="K734" t="s">
        <v>48</v>
      </c>
      <c r="L734" t="s">
        <v>38</v>
      </c>
      <c r="M734">
        <v>22</v>
      </c>
      <c r="N734">
        <v>479.99</v>
      </c>
      <c r="O734">
        <v>10559.78</v>
      </c>
      <c r="P734">
        <v>0.16</v>
      </c>
      <c r="Q734">
        <v>1689.56</v>
      </c>
      <c r="R734">
        <v>8870.2199999999993</v>
      </c>
      <c r="S734">
        <v>709.62</v>
      </c>
      <c r="T734">
        <v>0</v>
      </c>
      <c r="U734" t="s">
        <v>31</v>
      </c>
    </row>
    <row r="735" spans="1:21" x14ac:dyDescent="0.35">
      <c r="A735" t="s">
        <v>849</v>
      </c>
      <c r="B735" s="1">
        <v>45535</v>
      </c>
      <c r="C735">
        <v>2024</v>
      </c>
      <c r="D735" t="s">
        <v>122</v>
      </c>
      <c r="E735" t="s">
        <v>123</v>
      </c>
      <c r="F735" t="s">
        <v>64</v>
      </c>
      <c r="G735" t="s">
        <v>124</v>
      </c>
      <c r="H735" t="s">
        <v>71</v>
      </c>
      <c r="I735" t="s">
        <v>72</v>
      </c>
      <c r="J735" t="s">
        <v>47</v>
      </c>
      <c r="K735" t="s">
        <v>37</v>
      </c>
      <c r="L735" t="s">
        <v>73</v>
      </c>
      <c r="M735">
        <v>24</v>
      </c>
      <c r="N735">
        <v>1199.99</v>
      </c>
      <c r="O735">
        <v>28799.759999999998</v>
      </c>
      <c r="P735">
        <v>0.08</v>
      </c>
      <c r="Q735">
        <v>2303.98</v>
      </c>
      <c r="R735">
        <v>26495.78</v>
      </c>
      <c r="S735">
        <v>2119.66</v>
      </c>
      <c r="T735">
        <v>28615.439999999999</v>
      </c>
      <c r="U735" t="s">
        <v>39</v>
      </c>
    </row>
    <row r="736" spans="1:21" x14ac:dyDescent="0.35">
      <c r="A736" t="s">
        <v>850</v>
      </c>
      <c r="B736" s="1">
        <v>45535</v>
      </c>
      <c r="C736">
        <v>2024</v>
      </c>
      <c r="D736" t="s">
        <v>81</v>
      </c>
      <c r="E736" t="s">
        <v>82</v>
      </c>
      <c r="F736" t="s">
        <v>35</v>
      </c>
      <c r="G736" t="s">
        <v>83</v>
      </c>
      <c r="H736" t="s">
        <v>26</v>
      </c>
      <c r="I736" t="s">
        <v>27</v>
      </c>
      <c r="J736" t="s">
        <v>28</v>
      </c>
      <c r="K736" t="s">
        <v>29</v>
      </c>
      <c r="L736" t="s">
        <v>30</v>
      </c>
      <c r="M736">
        <v>26</v>
      </c>
      <c r="N736">
        <v>8.99</v>
      </c>
      <c r="O736">
        <v>233.74</v>
      </c>
      <c r="P736">
        <v>0.08</v>
      </c>
      <c r="Q736">
        <v>18.7</v>
      </c>
      <c r="R736">
        <v>215.04</v>
      </c>
      <c r="S736">
        <v>17.2</v>
      </c>
      <c r="T736">
        <v>232.24</v>
      </c>
      <c r="U736" t="s">
        <v>111</v>
      </c>
    </row>
    <row r="737" spans="1:21" x14ac:dyDescent="0.35">
      <c r="A737" t="s">
        <v>851</v>
      </c>
      <c r="B737" s="1">
        <v>45536</v>
      </c>
      <c r="C737">
        <v>2024</v>
      </c>
      <c r="D737" t="s">
        <v>122</v>
      </c>
      <c r="E737" t="s">
        <v>123</v>
      </c>
      <c r="F737" t="s">
        <v>64</v>
      </c>
      <c r="G737" t="s">
        <v>124</v>
      </c>
      <c r="H737" t="s">
        <v>145</v>
      </c>
      <c r="I737" t="s">
        <v>146</v>
      </c>
      <c r="J737" t="s">
        <v>47</v>
      </c>
      <c r="K737" t="s">
        <v>60</v>
      </c>
      <c r="L737" t="s">
        <v>49</v>
      </c>
      <c r="M737">
        <v>23</v>
      </c>
      <c r="N737">
        <v>129.99</v>
      </c>
      <c r="O737">
        <v>2989.77</v>
      </c>
      <c r="P737">
        <v>0.08</v>
      </c>
      <c r="Q737">
        <v>239.18</v>
      </c>
      <c r="R737">
        <v>2750.59</v>
      </c>
      <c r="S737">
        <v>220.05</v>
      </c>
      <c r="T737">
        <v>2970.64</v>
      </c>
      <c r="U737" t="s">
        <v>39</v>
      </c>
    </row>
    <row r="738" spans="1:21" x14ac:dyDescent="0.35">
      <c r="A738" t="s">
        <v>852</v>
      </c>
      <c r="B738" s="1">
        <v>45537</v>
      </c>
      <c r="C738">
        <v>2024</v>
      </c>
      <c r="D738" t="s">
        <v>87</v>
      </c>
      <c r="E738" t="s">
        <v>88</v>
      </c>
      <c r="F738" t="s">
        <v>24</v>
      </c>
      <c r="G738" t="s">
        <v>89</v>
      </c>
      <c r="H738" t="s">
        <v>54</v>
      </c>
      <c r="I738" t="s">
        <v>55</v>
      </c>
      <c r="J738" t="s">
        <v>56</v>
      </c>
      <c r="K738" t="s">
        <v>37</v>
      </c>
      <c r="L738" t="s">
        <v>69</v>
      </c>
      <c r="M738">
        <v>18</v>
      </c>
      <c r="N738">
        <v>39.99</v>
      </c>
      <c r="O738">
        <v>719.82</v>
      </c>
      <c r="P738">
        <v>0.05</v>
      </c>
      <c r="Q738">
        <v>35.99</v>
      </c>
      <c r="R738">
        <v>683.83</v>
      </c>
      <c r="S738">
        <v>54.71</v>
      </c>
      <c r="T738">
        <v>738.54</v>
      </c>
      <c r="U738" t="s">
        <v>39</v>
      </c>
    </row>
    <row r="739" spans="1:21" x14ac:dyDescent="0.35">
      <c r="A739" t="s">
        <v>853</v>
      </c>
      <c r="B739" s="1">
        <v>45540</v>
      </c>
      <c r="C739">
        <v>2024</v>
      </c>
      <c r="D739" t="s">
        <v>91</v>
      </c>
      <c r="E739" t="s">
        <v>92</v>
      </c>
      <c r="F739" t="s">
        <v>24</v>
      </c>
      <c r="G739" t="s">
        <v>93</v>
      </c>
      <c r="H739" t="s">
        <v>66</v>
      </c>
      <c r="I739" t="s">
        <v>67</v>
      </c>
      <c r="J739" t="s">
        <v>56</v>
      </c>
      <c r="K739" t="s">
        <v>60</v>
      </c>
      <c r="L739" t="s">
        <v>49</v>
      </c>
      <c r="M739">
        <v>18</v>
      </c>
      <c r="N739">
        <v>229.99</v>
      </c>
      <c r="O739">
        <v>4139.82</v>
      </c>
      <c r="P739">
        <v>0.05</v>
      </c>
      <c r="Q739">
        <v>206.99</v>
      </c>
      <c r="R739">
        <v>3932.83</v>
      </c>
      <c r="S739">
        <v>314.63</v>
      </c>
      <c r="T739">
        <v>4247.46</v>
      </c>
      <c r="U739" t="s">
        <v>39</v>
      </c>
    </row>
    <row r="740" spans="1:21" x14ac:dyDescent="0.35">
      <c r="A740" t="s">
        <v>854</v>
      </c>
      <c r="B740" s="1">
        <v>45542</v>
      </c>
      <c r="C740">
        <v>2024</v>
      </c>
      <c r="D740" t="s">
        <v>107</v>
      </c>
      <c r="E740" t="s">
        <v>108</v>
      </c>
      <c r="F740" t="s">
        <v>35</v>
      </c>
      <c r="G740" t="s">
        <v>109</v>
      </c>
      <c r="H740" t="s">
        <v>84</v>
      </c>
      <c r="I740" t="s">
        <v>85</v>
      </c>
      <c r="J740" t="s">
        <v>47</v>
      </c>
      <c r="K740" t="s">
        <v>68</v>
      </c>
      <c r="L740" t="s">
        <v>69</v>
      </c>
      <c r="M740">
        <v>12</v>
      </c>
      <c r="N740">
        <v>249.99</v>
      </c>
      <c r="O740">
        <v>2999.88</v>
      </c>
      <c r="P740">
        <v>0.05</v>
      </c>
      <c r="Q740">
        <v>149.99</v>
      </c>
      <c r="R740">
        <v>2849.89</v>
      </c>
      <c r="S740">
        <v>227.99</v>
      </c>
      <c r="T740">
        <v>3077.88</v>
      </c>
      <c r="U740" t="s">
        <v>39</v>
      </c>
    </row>
    <row r="741" spans="1:21" x14ac:dyDescent="0.35">
      <c r="A741" t="s">
        <v>855</v>
      </c>
      <c r="B741" s="1">
        <v>45544</v>
      </c>
      <c r="C741">
        <v>2024</v>
      </c>
      <c r="D741" t="s">
        <v>186</v>
      </c>
      <c r="E741" t="s">
        <v>187</v>
      </c>
      <c r="F741" t="s">
        <v>43</v>
      </c>
      <c r="G741" t="s">
        <v>188</v>
      </c>
      <c r="H741" t="s">
        <v>26</v>
      </c>
      <c r="I741" t="s">
        <v>27</v>
      </c>
      <c r="J741" t="s">
        <v>28</v>
      </c>
      <c r="K741" t="s">
        <v>48</v>
      </c>
      <c r="L741" t="s">
        <v>73</v>
      </c>
      <c r="M741">
        <v>7</v>
      </c>
      <c r="N741">
        <v>8.99</v>
      </c>
      <c r="O741">
        <v>62.93</v>
      </c>
      <c r="P741">
        <v>0</v>
      </c>
      <c r="Q741">
        <v>0</v>
      </c>
      <c r="R741">
        <v>62.93</v>
      </c>
      <c r="S741">
        <v>5.03</v>
      </c>
      <c r="T741">
        <v>0</v>
      </c>
      <c r="U741" t="s">
        <v>31</v>
      </c>
    </row>
    <row r="742" spans="1:21" x14ac:dyDescent="0.35">
      <c r="A742" t="s">
        <v>856</v>
      </c>
      <c r="B742" s="1">
        <v>45545</v>
      </c>
      <c r="C742">
        <v>2024</v>
      </c>
      <c r="D742" t="s">
        <v>91</v>
      </c>
      <c r="E742" t="s">
        <v>92</v>
      </c>
      <c r="F742" t="s">
        <v>24</v>
      </c>
      <c r="G742" t="s">
        <v>93</v>
      </c>
      <c r="H742" t="s">
        <v>71</v>
      </c>
      <c r="I742" t="s">
        <v>72</v>
      </c>
      <c r="J742" t="s">
        <v>47</v>
      </c>
      <c r="K742" t="s">
        <v>29</v>
      </c>
      <c r="L742" t="s">
        <v>30</v>
      </c>
      <c r="M742">
        <v>28</v>
      </c>
      <c r="N742">
        <v>1199.99</v>
      </c>
      <c r="O742">
        <v>33599.72</v>
      </c>
      <c r="P742">
        <v>0.08</v>
      </c>
      <c r="Q742">
        <v>2687.98</v>
      </c>
      <c r="R742">
        <v>30911.74</v>
      </c>
      <c r="S742">
        <v>2472.94</v>
      </c>
      <c r="T742">
        <v>33384.68</v>
      </c>
      <c r="U742" t="s">
        <v>39</v>
      </c>
    </row>
    <row r="743" spans="1:21" x14ac:dyDescent="0.35">
      <c r="A743" t="s">
        <v>857</v>
      </c>
      <c r="B743" s="1">
        <v>45546</v>
      </c>
      <c r="C743">
        <v>2024</v>
      </c>
      <c r="D743" t="s">
        <v>33</v>
      </c>
      <c r="E743" t="s">
        <v>34</v>
      </c>
      <c r="F743" t="s">
        <v>35</v>
      </c>
      <c r="G743" t="s">
        <v>36</v>
      </c>
      <c r="H743" t="s">
        <v>128</v>
      </c>
      <c r="I743" t="s">
        <v>129</v>
      </c>
      <c r="J743" t="s">
        <v>47</v>
      </c>
      <c r="K743" t="s">
        <v>60</v>
      </c>
      <c r="L743" t="s">
        <v>38</v>
      </c>
      <c r="M743">
        <v>4</v>
      </c>
      <c r="N743">
        <v>399.99</v>
      </c>
      <c r="O743">
        <v>1599.96</v>
      </c>
      <c r="P743">
        <v>0.08</v>
      </c>
      <c r="Q743">
        <v>128</v>
      </c>
      <c r="R743">
        <v>1471.96</v>
      </c>
      <c r="S743">
        <v>117.76</v>
      </c>
      <c r="T743">
        <v>1589.72</v>
      </c>
      <c r="U743" t="s">
        <v>39</v>
      </c>
    </row>
    <row r="744" spans="1:21" x14ac:dyDescent="0.35">
      <c r="A744" t="s">
        <v>858</v>
      </c>
      <c r="B744" s="1">
        <v>45552</v>
      </c>
      <c r="C744">
        <v>2024</v>
      </c>
      <c r="D744" t="s">
        <v>107</v>
      </c>
      <c r="E744" t="s">
        <v>108</v>
      </c>
      <c r="F744" t="s">
        <v>35</v>
      </c>
      <c r="G744" t="s">
        <v>109</v>
      </c>
      <c r="H744" t="s">
        <v>54</v>
      </c>
      <c r="I744" t="s">
        <v>55</v>
      </c>
      <c r="J744" t="s">
        <v>56</v>
      </c>
      <c r="K744" t="s">
        <v>60</v>
      </c>
      <c r="L744" t="s">
        <v>30</v>
      </c>
      <c r="M744">
        <v>30</v>
      </c>
      <c r="N744">
        <v>39.99</v>
      </c>
      <c r="O744">
        <v>1199.7</v>
      </c>
      <c r="P744">
        <v>0.08</v>
      </c>
      <c r="Q744">
        <v>95.98</v>
      </c>
      <c r="R744">
        <v>1103.72</v>
      </c>
      <c r="S744">
        <v>88.3</v>
      </c>
      <c r="T744">
        <v>1192.02</v>
      </c>
      <c r="U744" t="s">
        <v>39</v>
      </c>
    </row>
    <row r="745" spans="1:21" x14ac:dyDescent="0.35">
      <c r="A745" t="s">
        <v>859</v>
      </c>
      <c r="B745" s="1">
        <v>45556</v>
      </c>
      <c r="C745">
        <v>2024</v>
      </c>
      <c r="D745" t="s">
        <v>148</v>
      </c>
      <c r="E745" t="s">
        <v>149</v>
      </c>
      <c r="F745" t="s">
        <v>43</v>
      </c>
      <c r="G745" t="s">
        <v>150</v>
      </c>
      <c r="H745" t="s">
        <v>125</v>
      </c>
      <c r="I745" t="s">
        <v>126</v>
      </c>
      <c r="J745" t="s">
        <v>28</v>
      </c>
      <c r="K745" t="s">
        <v>68</v>
      </c>
      <c r="L745" t="s">
        <v>30</v>
      </c>
      <c r="M745">
        <v>29</v>
      </c>
      <c r="N745">
        <v>79.989999999999995</v>
      </c>
      <c r="O745">
        <v>2319.71</v>
      </c>
      <c r="P745">
        <v>0.08</v>
      </c>
      <c r="Q745">
        <v>185.58</v>
      </c>
      <c r="R745">
        <v>2134.13</v>
      </c>
      <c r="S745">
        <v>170.73</v>
      </c>
      <c r="T745">
        <v>0</v>
      </c>
      <c r="U745" t="s">
        <v>31</v>
      </c>
    </row>
    <row r="746" spans="1:21" x14ac:dyDescent="0.35">
      <c r="A746" t="s">
        <v>860</v>
      </c>
      <c r="B746" s="1">
        <v>45558</v>
      </c>
      <c r="C746">
        <v>2024</v>
      </c>
      <c r="D746" t="s">
        <v>33</v>
      </c>
      <c r="E746" t="s">
        <v>34</v>
      </c>
      <c r="F746" t="s">
        <v>35</v>
      </c>
      <c r="G746" t="s">
        <v>36</v>
      </c>
      <c r="H746" t="s">
        <v>208</v>
      </c>
      <c r="I746" t="s">
        <v>209</v>
      </c>
      <c r="J746" t="s">
        <v>47</v>
      </c>
      <c r="K746" t="s">
        <v>68</v>
      </c>
      <c r="L746" t="s">
        <v>49</v>
      </c>
      <c r="M746">
        <v>15</v>
      </c>
      <c r="N746">
        <v>49.99</v>
      </c>
      <c r="O746">
        <v>749.85</v>
      </c>
      <c r="P746">
        <v>0.05</v>
      </c>
      <c r="Q746">
        <v>37.49</v>
      </c>
      <c r="R746">
        <v>712.36</v>
      </c>
      <c r="S746">
        <v>56.99</v>
      </c>
      <c r="T746">
        <v>769.35</v>
      </c>
      <c r="U746" t="s">
        <v>39</v>
      </c>
    </row>
    <row r="747" spans="1:21" x14ac:dyDescent="0.35">
      <c r="A747" t="s">
        <v>861</v>
      </c>
      <c r="B747" s="1">
        <v>45560</v>
      </c>
      <c r="C747">
        <v>2024</v>
      </c>
      <c r="D747" t="s">
        <v>51</v>
      </c>
      <c r="E747" t="s">
        <v>52</v>
      </c>
      <c r="F747" t="s">
        <v>24</v>
      </c>
      <c r="G747" t="s">
        <v>53</v>
      </c>
      <c r="H747" t="s">
        <v>100</v>
      </c>
      <c r="I747" t="s">
        <v>101</v>
      </c>
      <c r="J747" t="s">
        <v>47</v>
      </c>
      <c r="K747" t="s">
        <v>48</v>
      </c>
      <c r="L747" t="s">
        <v>38</v>
      </c>
      <c r="M747">
        <v>25</v>
      </c>
      <c r="N747">
        <v>29.99</v>
      </c>
      <c r="O747">
        <v>749.75</v>
      </c>
      <c r="P747">
        <v>0.16</v>
      </c>
      <c r="Q747">
        <v>119.96</v>
      </c>
      <c r="R747">
        <v>629.79</v>
      </c>
      <c r="S747">
        <v>50.38</v>
      </c>
      <c r="T747">
        <v>680.17</v>
      </c>
      <c r="U747" t="s">
        <v>39</v>
      </c>
    </row>
    <row r="748" spans="1:21" x14ac:dyDescent="0.35">
      <c r="A748" t="s">
        <v>862</v>
      </c>
      <c r="B748" s="1">
        <v>45568</v>
      </c>
      <c r="C748">
        <v>2024</v>
      </c>
      <c r="D748" t="s">
        <v>142</v>
      </c>
      <c r="E748" t="s">
        <v>143</v>
      </c>
      <c r="F748" t="s">
        <v>43</v>
      </c>
      <c r="G748" t="s">
        <v>144</v>
      </c>
      <c r="H748" t="s">
        <v>94</v>
      </c>
      <c r="I748" t="s">
        <v>95</v>
      </c>
      <c r="J748" t="s">
        <v>56</v>
      </c>
      <c r="K748" t="s">
        <v>60</v>
      </c>
      <c r="L748" t="s">
        <v>30</v>
      </c>
      <c r="M748">
        <v>30</v>
      </c>
      <c r="N748">
        <v>349.99</v>
      </c>
      <c r="O748">
        <v>10499.7</v>
      </c>
      <c r="P748">
        <v>0.08</v>
      </c>
      <c r="Q748">
        <v>839.98</v>
      </c>
      <c r="R748">
        <v>9659.7199999999993</v>
      </c>
      <c r="S748">
        <v>772.78</v>
      </c>
      <c r="T748">
        <v>10432.5</v>
      </c>
      <c r="U748" t="s">
        <v>111</v>
      </c>
    </row>
    <row r="749" spans="1:21" x14ac:dyDescent="0.35">
      <c r="A749" t="s">
        <v>863</v>
      </c>
      <c r="B749" s="1">
        <v>45570</v>
      </c>
      <c r="C749">
        <v>2024</v>
      </c>
      <c r="D749" t="s">
        <v>62</v>
      </c>
      <c r="E749" t="s">
        <v>63</v>
      </c>
      <c r="F749" t="s">
        <v>64</v>
      </c>
      <c r="G749" t="s">
        <v>65</v>
      </c>
      <c r="H749" t="s">
        <v>94</v>
      </c>
      <c r="I749" t="s">
        <v>95</v>
      </c>
      <c r="J749" t="s">
        <v>56</v>
      </c>
      <c r="K749" t="s">
        <v>48</v>
      </c>
      <c r="L749" t="s">
        <v>73</v>
      </c>
      <c r="M749">
        <v>26</v>
      </c>
      <c r="N749">
        <v>349.99</v>
      </c>
      <c r="O749">
        <v>9099.74</v>
      </c>
      <c r="P749">
        <v>0.08</v>
      </c>
      <c r="Q749">
        <v>727.98</v>
      </c>
      <c r="R749">
        <v>8371.76</v>
      </c>
      <c r="S749">
        <v>669.74</v>
      </c>
      <c r="T749">
        <v>9041.5</v>
      </c>
      <c r="U749" t="s">
        <v>111</v>
      </c>
    </row>
    <row r="750" spans="1:21" x14ac:dyDescent="0.35">
      <c r="A750" t="s">
        <v>864</v>
      </c>
      <c r="B750" s="1">
        <v>45571</v>
      </c>
      <c r="C750">
        <v>2024</v>
      </c>
      <c r="D750" t="s">
        <v>107</v>
      </c>
      <c r="E750" t="s">
        <v>108</v>
      </c>
      <c r="F750" t="s">
        <v>35</v>
      </c>
      <c r="G750" t="s">
        <v>109</v>
      </c>
      <c r="H750" t="s">
        <v>208</v>
      </c>
      <c r="I750" t="s">
        <v>209</v>
      </c>
      <c r="J750" t="s">
        <v>47</v>
      </c>
      <c r="K750" t="s">
        <v>60</v>
      </c>
      <c r="L750" t="s">
        <v>38</v>
      </c>
      <c r="M750">
        <v>12</v>
      </c>
      <c r="N750">
        <v>49.99</v>
      </c>
      <c r="O750">
        <v>599.88</v>
      </c>
      <c r="P750">
        <v>0.13</v>
      </c>
      <c r="Q750">
        <v>77.98</v>
      </c>
      <c r="R750">
        <v>521.9</v>
      </c>
      <c r="S750">
        <v>41.75</v>
      </c>
      <c r="T750">
        <v>563.65</v>
      </c>
      <c r="U750" t="s">
        <v>39</v>
      </c>
    </row>
    <row r="751" spans="1:21" x14ac:dyDescent="0.35">
      <c r="A751" t="s">
        <v>865</v>
      </c>
      <c r="B751" s="1">
        <v>45573</v>
      </c>
      <c r="C751">
        <v>2024</v>
      </c>
      <c r="D751" t="s">
        <v>62</v>
      </c>
      <c r="E751" t="s">
        <v>63</v>
      </c>
      <c r="F751" t="s">
        <v>64</v>
      </c>
      <c r="G751" t="s">
        <v>65</v>
      </c>
      <c r="H751" t="s">
        <v>94</v>
      </c>
      <c r="I751" t="s">
        <v>95</v>
      </c>
      <c r="J751" t="s">
        <v>56</v>
      </c>
      <c r="K751" t="s">
        <v>37</v>
      </c>
      <c r="L751" t="s">
        <v>38</v>
      </c>
      <c r="M751">
        <v>29</v>
      </c>
      <c r="N751">
        <v>349.99</v>
      </c>
      <c r="O751">
        <v>10149.709999999999</v>
      </c>
      <c r="P751">
        <v>0.16</v>
      </c>
      <c r="Q751">
        <v>1623.95</v>
      </c>
      <c r="R751">
        <v>8525.76</v>
      </c>
      <c r="S751">
        <v>682.06</v>
      </c>
      <c r="T751">
        <v>9207.82</v>
      </c>
      <c r="U751" t="s">
        <v>39</v>
      </c>
    </row>
    <row r="752" spans="1:21" x14ac:dyDescent="0.35">
      <c r="A752" t="s">
        <v>866</v>
      </c>
      <c r="B752" s="1">
        <v>45579</v>
      </c>
      <c r="C752">
        <v>2024</v>
      </c>
      <c r="D752" t="s">
        <v>186</v>
      </c>
      <c r="E752" t="s">
        <v>187</v>
      </c>
      <c r="F752" t="s">
        <v>43</v>
      </c>
      <c r="G752" t="s">
        <v>188</v>
      </c>
      <c r="H752" t="s">
        <v>100</v>
      </c>
      <c r="I752" t="s">
        <v>101</v>
      </c>
      <c r="J752" t="s">
        <v>47</v>
      </c>
      <c r="K752" t="s">
        <v>48</v>
      </c>
      <c r="L752" t="s">
        <v>73</v>
      </c>
      <c r="M752">
        <v>21</v>
      </c>
      <c r="N752">
        <v>29.99</v>
      </c>
      <c r="O752">
        <v>629.79</v>
      </c>
      <c r="P752">
        <v>0.08</v>
      </c>
      <c r="Q752">
        <v>50.38</v>
      </c>
      <c r="R752">
        <v>579.41</v>
      </c>
      <c r="S752">
        <v>46.35</v>
      </c>
      <c r="T752">
        <v>625.76</v>
      </c>
      <c r="U752" t="s">
        <v>111</v>
      </c>
    </row>
    <row r="753" spans="1:21" x14ac:dyDescent="0.35">
      <c r="A753" t="s">
        <v>867</v>
      </c>
      <c r="B753" s="1">
        <v>45583</v>
      </c>
      <c r="C753">
        <v>2024</v>
      </c>
      <c r="D753" t="s">
        <v>75</v>
      </c>
      <c r="E753" t="s">
        <v>76</v>
      </c>
      <c r="F753" t="s">
        <v>64</v>
      </c>
      <c r="G753" t="s">
        <v>77</v>
      </c>
      <c r="H753" t="s">
        <v>104</v>
      </c>
      <c r="I753" t="s">
        <v>105</v>
      </c>
      <c r="J753" t="s">
        <v>47</v>
      </c>
      <c r="K753" t="s">
        <v>68</v>
      </c>
      <c r="L753" t="s">
        <v>38</v>
      </c>
      <c r="M753">
        <v>16</v>
      </c>
      <c r="N753">
        <v>479.99</v>
      </c>
      <c r="O753">
        <v>7679.84</v>
      </c>
      <c r="P753">
        <v>0.13</v>
      </c>
      <c r="Q753">
        <v>998.38</v>
      </c>
      <c r="R753">
        <v>6681.46</v>
      </c>
      <c r="S753">
        <v>534.52</v>
      </c>
      <c r="T753">
        <v>0</v>
      </c>
      <c r="U753" t="s">
        <v>31</v>
      </c>
    </row>
    <row r="754" spans="1:21" x14ac:dyDescent="0.35">
      <c r="A754" t="s">
        <v>868</v>
      </c>
      <c r="B754" s="1">
        <v>45585</v>
      </c>
      <c r="C754">
        <v>2024</v>
      </c>
      <c r="D754" t="s">
        <v>91</v>
      </c>
      <c r="E754" t="s">
        <v>92</v>
      </c>
      <c r="F754" t="s">
        <v>24</v>
      </c>
      <c r="G754" t="s">
        <v>93</v>
      </c>
      <c r="H754" t="s">
        <v>100</v>
      </c>
      <c r="I754" t="s">
        <v>101</v>
      </c>
      <c r="J754" t="s">
        <v>47</v>
      </c>
      <c r="K754" t="s">
        <v>60</v>
      </c>
      <c r="L754" t="s">
        <v>69</v>
      </c>
      <c r="M754">
        <v>30</v>
      </c>
      <c r="N754">
        <v>29.99</v>
      </c>
      <c r="O754">
        <v>899.7</v>
      </c>
      <c r="P754">
        <v>0.08</v>
      </c>
      <c r="Q754">
        <v>71.98</v>
      </c>
      <c r="R754">
        <v>827.72</v>
      </c>
      <c r="S754">
        <v>66.22</v>
      </c>
      <c r="T754">
        <v>893.94</v>
      </c>
      <c r="U754" t="s">
        <v>39</v>
      </c>
    </row>
    <row r="755" spans="1:21" x14ac:dyDescent="0.35">
      <c r="A755" t="s">
        <v>869</v>
      </c>
      <c r="B755" s="1">
        <v>45585</v>
      </c>
      <c r="C755">
        <v>2024</v>
      </c>
      <c r="D755" t="s">
        <v>148</v>
      </c>
      <c r="E755" t="s">
        <v>149</v>
      </c>
      <c r="F755" t="s">
        <v>43</v>
      </c>
      <c r="G755" t="s">
        <v>150</v>
      </c>
      <c r="H755" t="s">
        <v>145</v>
      </c>
      <c r="I755" t="s">
        <v>146</v>
      </c>
      <c r="J755" t="s">
        <v>47</v>
      </c>
      <c r="K755" t="s">
        <v>29</v>
      </c>
      <c r="L755" t="s">
        <v>69</v>
      </c>
      <c r="M755">
        <v>15</v>
      </c>
      <c r="N755">
        <v>129.99</v>
      </c>
      <c r="O755">
        <v>1949.85</v>
      </c>
      <c r="P755">
        <v>0.05</v>
      </c>
      <c r="Q755">
        <v>97.49</v>
      </c>
      <c r="R755">
        <v>1852.36</v>
      </c>
      <c r="S755">
        <v>148.19</v>
      </c>
      <c r="T755">
        <v>2000.55</v>
      </c>
      <c r="U755" t="s">
        <v>39</v>
      </c>
    </row>
    <row r="756" spans="1:21" x14ac:dyDescent="0.35">
      <c r="A756" t="s">
        <v>870</v>
      </c>
      <c r="B756" s="1">
        <v>45590</v>
      </c>
      <c r="C756">
        <v>2024</v>
      </c>
      <c r="D756" t="s">
        <v>122</v>
      </c>
      <c r="E756" t="s">
        <v>123</v>
      </c>
      <c r="F756" t="s">
        <v>64</v>
      </c>
      <c r="G756" t="s">
        <v>124</v>
      </c>
      <c r="H756" t="s">
        <v>100</v>
      </c>
      <c r="I756" t="s">
        <v>101</v>
      </c>
      <c r="J756" t="s">
        <v>47</v>
      </c>
      <c r="K756" t="s">
        <v>29</v>
      </c>
      <c r="L756" t="s">
        <v>73</v>
      </c>
      <c r="M756">
        <v>19</v>
      </c>
      <c r="N756">
        <v>29.99</v>
      </c>
      <c r="O756">
        <v>569.80999999999995</v>
      </c>
      <c r="P756">
        <v>0.05</v>
      </c>
      <c r="Q756">
        <v>28.49</v>
      </c>
      <c r="R756">
        <v>541.32000000000005</v>
      </c>
      <c r="S756">
        <v>43.31</v>
      </c>
      <c r="T756">
        <v>0</v>
      </c>
      <c r="U756" t="s">
        <v>31</v>
      </c>
    </row>
    <row r="757" spans="1:21" x14ac:dyDescent="0.35">
      <c r="A757" t="s">
        <v>871</v>
      </c>
      <c r="B757" s="1">
        <v>45591</v>
      </c>
      <c r="C757">
        <v>2024</v>
      </c>
      <c r="D757" t="s">
        <v>22</v>
      </c>
      <c r="E757" t="s">
        <v>23</v>
      </c>
      <c r="F757" t="s">
        <v>24</v>
      </c>
      <c r="G757" t="s">
        <v>25</v>
      </c>
      <c r="H757" t="s">
        <v>71</v>
      </c>
      <c r="I757" t="s">
        <v>72</v>
      </c>
      <c r="J757" t="s">
        <v>47</v>
      </c>
      <c r="K757" t="s">
        <v>60</v>
      </c>
      <c r="L757" t="s">
        <v>30</v>
      </c>
      <c r="M757">
        <v>25</v>
      </c>
      <c r="N757">
        <v>1199.99</v>
      </c>
      <c r="O757">
        <v>29999.75</v>
      </c>
      <c r="P757">
        <v>0.08</v>
      </c>
      <c r="Q757">
        <v>2399.98</v>
      </c>
      <c r="R757">
        <v>27599.77</v>
      </c>
      <c r="S757">
        <v>2207.98</v>
      </c>
      <c r="T757">
        <v>29807.75</v>
      </c>
      <c r="U757" t="s">
        <v>39</v>
      </c>
    </row>
    <row r="758" spans="1:21" x14ac:dyDescent="0.35">
      <c r="A758" t="s">
        <v>872</v>
      </c>
      <c r="B758" s="1">
        <v>45592</v>
      </c>
      <c r="C758">
        <v>2024</v>
      </c>
      <c r="D758" t="s">
        <v>22</v>
      </c>
      <c r="E758" t="s">
        <v>23</v>
      </c>
      <c r="F758" t="s">
        <v>24</v>
      </c>
      <c r="G758" t="s">
        <v>25</v>
      </c>
      <c r="H758" t="s">
        <v>125</v>
      </c>
      <c r="I758" t="s">
        <v>126</v>
      </c>
      <c r="J758" t="s">
        <v>28</v>
      </c>
      <c r="K758" t="s">
        <v>37</v>
      </c>
      <c r="L758" t="s">
        <v>69</v>
      </c>
      <c r="M758">
        <v>5</v>
      </c>
      <c r="N758">
        <v>79.989999999999995</v>
      </c>
      <c r="O758">
        <v>399.95</v>
      </c>
      <c r="P758">
        <v>0</v>
      </c>
      <c r="Q758">
        <v>0</v>
      </c>
      <c r="R758">
        <v>399.95</v>
      </c>
      <c r="S758">
        <v>32</v>
      </c>
      <c r="T758">
        <v>431.95</v>
      </c>
      <c r="U758" t="s">
        <v>39</v>
      </c>
    </row>
    <row r="759" spans="1:21" x14ac:dyDescent="0.35">
      <c r="A759" t="s">
        <v>873</v>
      </c>
      <c r="B759" s="1">
        <v>45596</v>
      </c>
      <c r="C759">
        <v>2024</v>
      </c>
      <c r="D759" t="s">
        <v>81</v>
      </c>
      <c r="E759" t="s">
        <v>82</v>
      </c>
      <c r="F759" t="s">
        <v>35</v>
      </c>
      <c r="G759" t="s">
        <v>83</v>
      </c>
      <c r="H759" t="s">
        <v>208</v>
      </c>
      <c r="I759" t="s">
        <v>209</v>
      </c>
      <c r="J759" t="s">
        <v>47</v>
      </c>
      <c r="K759" t="s">
        <v>68</v>
      </c>
      <c r="L759" t="s">
        <v>30</v>
      </c>
      <c r="M759">
        <v>11</v>
      </c>
      <c r="N759">
        <v>49.99</v>
      </c>
      <c r="O759">
        <v>549.89</v>
      </c>
      <c r="P759">
        <v>0.05</v>
      </c>
      <c r="Q759">
        <v>27.49</v>
      </c>
      <c r="R759">
        <v>522.4</v>
      </c>
      <c r="S759">
        <v>41.79</v>
      </c>
      <c r="T759">
        <v>564.19000000000005</v>
      </c>
      <c r="U759" t="s">
        <v>39</v>
      </c>
    </row>
    <row r="760" spans="1:21" x14ac:dyDescent="0.35">
      <c r="A760" t="s">
        <v>874</v>
      </c>
      <c r="B760" s="1">
        <v>45596</v>
      </c>
      <c r="C760">
        <v>2024</v>
      </c>
      <c r="D760" t="s">
        <v>62</v>
      </c>
      <c r="E760" t="s">
        <v>63</v>
      </c>
      <c r="F760" t="s">
        <v>64</v>
      </c>
      <c r="G760" t="s">
        <v>65</v>
      </c>
      <c r="H760" t="s">
        <v>100</v>
      </c>
      <c r="I760" t="s">
        <v>101</v>
      </c>
      <c r="J760" t="s">
        <v>47</v>
      </c>
      <c r="K760" t="s">
        <v>60</v>
      </c>
      <c r="L760" t="s">
        <v>73</v>
      </c>
      <c r="M760">
        <v>5</v>
      </c>
      <c r="N760">
        <v>29.99</v>
      </c>
      <c r="O760">
        <v>149.94999999999999</v>
      </c>
      <c r="P760">
        <v>0</v>
      </c>
      <c r="Q760">
        <v>0</v>
      </c>
      <c r="R760">
        <v>149.94999999999999</v>
      </c>
      <c r="S760">
        <v>12</v>
      </c>
      <c r="T760">
        <v>161.94999999999999</v>
      </c>
      <c r="U760" t="s">
        <v>111</v>
      </c>
    </row>
    <row r="761" spans="1:21" x14ac:dyDescent="0.35">
      <c r="A761" t="s">
        <v>875</v>
      </c>
      <c r="B761" s="1">
        <v>45599</v>
      </c>
      <c r="C761">
        <v>2024</v>
      </c>
      <c r="D761" t="s">
        <v>122</v>
      </c>
      <c r="E761" t="s">
        <v>123</v>
      </c>
      <c r="F761" t="s">
        <v>64</v>
      </c>
      <c r="G761" t="s">
        <v>124</v>
      </c>
      <c r="H761" t="s">
        <v>71</v>
      </c>
      <c r="I761" t="s">
        <v>72</v>
      </c>
      <c r="J761" t="s">
        <v>47</v>
      </c>
      <c r="K761" t="s">
        <v>68</v>
      </c>
      <c r="L761" t="s">
        <v>49</v>
      </c>
      <c r="M761">
        <v>21</v>
      </c>
      <c r="N761">
        <v>1199.99</v>
      </c>
      <c r="O761">
        <v>25199.79</v>
      </c>
      <c r="P761">
        <v>0.08</v>
      </c>
      <c r="Q761">
        <v>2015.98</v>
      </c>
      <c r="R761">
        <v>23183.81</v>
      </c>
      <c r="S761">
        <v>1854.7</v>
      </c>
      <c r="T761">
        <v>25038.51</v>
      </c>
      <c r="U761" t="s">
        <v>111</v>
      </c>
    </row>
    <row r="762" spans="1:21" x14ac:dyDescent="0.35">
      <c r="A762" t="s">
        <v>876</v>
      </c>
      <c r="B762" s="1">
        <v>45601</v>
      </c>
      <c r="C762">
        <v>2024</v>
      </c>
      <c r="D762" t="s">
        <v>41</v>
      </c>
      <c r="E762" t="s">
        <v>42</v>
      </c>
      <c r="F762" t="s">
        <v>43</v>
      </c>
      <c r="G762" t="s">
        <v>44</v>
      </c>
      <c r="H762" t="s">
        <v>78</v>
      </c>
      <c r="I762" t="s">
        <v>79</v>
      </c>
      <c r="J762" t="s">
        <v>28</v>
      </c>
      <c r="K762" t="s">
        <v>37</v>
      </c>
      <c r="L762" t="s">
        <v>49</v>
      </c>
      <c r="M762">
        <v>14</v>
      </c>
      <c r="N762">
        <v>5.99</v>
      </c>
      <c r="O762">
        <v>83.86</v>
      </c>
      <c r="P762">
        <v>0.05</v>
      </c>
      <c r="Q762">
        <v>4.1900000000000004</v>
      </c>
      <c r="R762">
        <v>79.67</v>
      </c>
      <c r="S762">
        <v>6.37</v>
      </c>
      <c r="T762">
        <v>86.04</v>
      </c>
      <c r="U762" t="s">
        <v>111</v>
      </c>
    </row>
    <row r="763" spans="1:21" x14ac:dyDescent="0.35">
      <c r="A763" t="s">
        <v>877</v>
      </c>
      <c r="B763" s="1">
        <v>45603</v>
      </c>
      <c r="C763">
        <v>2024</v>
      </c>
      <c r="D763" t="s">
        <v>87</v>
      </c>
      <c r="E763" t="s">
        <v>88</v>
      </c>
      <c r="F763" t="s">
        <v>24</v>
      </c>
      <c r="G763" t="s">
        <v>89</v>
      </c>
      <c r="H763" t="s">
        <v>71</v>
      </c>
      <c r="I763" t="s">
        <v>72</v>
      </c>
      <c r="J763" t="s">
        <v>47</v>
      </c>
      <c r="K763" t="s">
        <v>37</v>
      </c>
      <c r="L763" t="s">
        <v>30</v>
      </c>
      <c r="M763">
        <v>20</v>
      </c>
      <c r="N763">
        <v>1199.99</v>
      </c>
      <c r="O763">
        <v>23999.8</v>
      </c>
      <c r="P763">
        <v>0.08</v>
      </c>
      <c r="Q763">
        <v>1919.98</v>
      </c>
      <c r="R763">
        <v>22079.82</v>
      </c>
      <c r="S763">
        <v>1766.39</v>
      </c>
      <c r="T763">
        <v>23846.21</v>
      </c>
      <c r="U763" t="s">
        <v>111</v>
      </c>
    </row>
    <row r="764" spans="1:21" x14ac:dyDescent="0.35">
      <c r="A764" t="s">
        <v>878</v>
      </c>
      <c r="B764" s="1">
        <v>45605</v>
      </c>
      <c r="C764">
        <v>2024</v>
      </c>
      <c r="D764" t="s">
        <v>62</v>
      </c>
      <c r="E764" t="s">
        <v>63</v>
      </c>
      <c r="F764" t="s">
        <v>64</v>
      </c>
      <c r="G764" t="s">
        <v>65</v>
      </c>
      <c r="H764" t="s">
        <v>84</v>
      </c>
      <c r="I764" t="s">
        <v>85</v>
      </c>
      <c r="J764" t="s">
        <v>47</v>
      </c>
      <c r="K764" t="s">
        <v>60</v>
      </c>
      <c r="L764" t="s">
        <v>73</v>
      </c>
      <c r="M764">
        <v>29</v>
      </c>
      <c r="N764">
        <v>249.99</v>
      </c>
      <c r="O764">
        <v>7249.71</v>
      </c>
      <c r="P764">
        <v>0.08</v>
      </c>
      <c r="Q764">
        <v>579.98</v>
      </c>
      <c r="R764">
        <v>6669.73</v>
      </c>
      <c r="S764">
        <v>533.58000000000004</v>
      </c>
      <c r="T764">
        <v>0</v>
      </c>
      <c r="U764" t="s">
        <v>31</v>
      </c>
    </row>
    <row r="765" spans="1:21" x14ac:dyDescent="0.35">
      <c r="A765" t="s">
        <v>879</v>
      </c>
      <c r="B765" s="1">
        <v>45606</v>
      </c>
      <c r="C765">
        <v>2024</v>
      </c>
      <c r="D765" t="s">
        <v>22</v>
      </c>
      <c r="E765" t="s">
        <v>23</v>
      </c>
      <c r="F765" t="s">
        <v>24</v>
      </c>
      <c r="G765" t="s">
        <v>25</v>
      </c>
      <c r="H765" t="s">
        <v>45</v>
      </c>
      <c r="I765" t="s">
        <v>46</v>
      </c>
      <c r="J765" t="s">
        <v>47</v>
      </c>
      <c r="K765" t="s">
        <v>29</v>
      </c>
      <c r="L765" t="s">
        <v>38</v>
      </c>
      <c r="M765">
        <v>5</v>
      </c>
      <c r="N765">
        <v>89.99</v>
      </c>
      <c r="O765">
        <v>449.95</v>
      </c>
      <c r="P765">
        <v>0.08</v>
      </c>
      <c r="Q765">
        <v>36</v>
      </c>
      <c r="R765">
        <v>413.95</v>
      </c>
      <c r="S765">
        <v>33.119999999999997</v>
      </c>
      <c r="T765">
        <v>447.07</v>
      </c>
      <c r="U765" t="s">
        <v>39</v>
      </c>
    </row>
    <row r="766" spans="1:21" x14ac:dyDescent="0.35">
      <c r="A766" t="s">
        <v>880</v>
      </c>
      <c r="B766" s="1">
        <v>45607</v>
      </c>
      <c r="C766">
        <v>2024</v>
      </c>
      <c r="D766" t="s">
        <v>107</v>
      </c>
      <c r="E766" t="s">
        <v>108</v>
      </c>
      <c r="F766" t="s">
        <v>35</v>
      </c>
      <c r="G766" t="s">
        <v>109</v>
      </c>
      <c r="H766" t="s">
        <v>128</v>
      </c>
      <c r="I766" t="s">
        <v>129</v>
      </c>
      <c r="J766" t="s">
        <v>47</v>
      </c>
      <c r="K766" t="s">
        <v>29</v>
      </c>
      <c r="L766" t="s">
        <v>69</v>
      </c>
      <c r="M766">
        <v>20</v>
      </c>
      <c r="N766">
        <v>399.99</v>
      </c>
      <c r="O766">
        <v>7999.8</v>
      </c>
      <c r="P766">
        <v>0.08</v>
      </c>
      <c r="Q766">
        <v>639.98</v>
      </c>
      <c r="R766">
        <v>7359.82</v>
      </c>
      <c r="S766">
        <v>588.79</v>
      </c>
      <c r="T766">
        <v>0</v>
      </c>
      <c r="U766" t="s">
        <v>31</v>
      </c>
    </row>
    <row r="767" spans="1:21" x14ac:dyDescent="0.35">
      <c r="A767" t="s">
        <v>881</v>
      </c>
      <c r="B767" s="1">
        <v>45611</v>
      </c>
      <c r="C767">
        <v>2024</v>
      </c>
      <c r="D767" t="s">
        <v>81</v>
      </c>
      <c r="E767" t="s">
        <v>82</v>
      </c>
      <c r="F767" t="s">
        <v>35</v>
      </c>
      <c r="G767" t="s">
        <v>83</v>
      </c>
      <c r="H767" t="s">
        <v>78</v>
      </c>
      <c r="I767" t="s">
        <v>79</v>
      </c>
      <c r="J767" t="s">
        <v>28</v>
      </c>
      <c r="K767" t="s">
        <v>48</v>
      </c>
      <c r="L767" t="s">
        <v>73</v>
      </c>
      <c r="M767">
        <v>7</v>
      </c>
      <c r="N767">
        <v>5.99</v>
      </c>
      <c r="O767">
        <v>41.93</v>
      </c>
      <c r="P767">
        <v>0</v>
      </c>
      <c r="Q767">
        <v>0</v>
      </c>
      <c r="R767">
        <v>41.93</v>
      </c>
      <c r="S767">
        <v>3.35</v>
      </c>
      <c r="T767">
        <v>45.28</v>
      </c>
      <c r="U767" t="s">
        <v>39</v>
      </c>
    </row>
    <row r="768" spans="1:21" x14ac:dyDescent="0.35">
      <c r="A768" t="s">
        <v>882</v>
      </c>
      <c r="B768" s="1">
        <v>45616</v>
      </c>
      <c r="C768">
        <v>2024</v>
      </c>
      <c r="D768" t="s">
        <v>148</v>
      </c>
      <c r="E768" t="s">
        <v>149</v>
      </c>
      <c r="F768" t="s">
        <v>43</v>
      </c>
      <c r="G768" t="s">
        <v>150</v>
      </c>
      <c r="H768" t="s">
        <v>128</v>
      </c>
      <c r="I768" t="s">
        <v>129</v>
      </c>
      <c r="J768" t="s">
        <v>47</v>
      </c>
      <c r="K768" t="s">
        <v>68</v>
      </c>
      <c r="L768" t="s">
        <v>38</v>
      </c>
      <c r="M768">
        <v>28</v>
      </c>
      <c r="N768">
        <v>399.99</v>
      </c>
      <c r="O768">
        <v>11199.72</v>
      </c>
      <c r="P768">
        <v>0.16</v>
      </c>
      <c r="Q768">
        <v>1791.96</v>
      </c>
      <c r="R768">
        <v>9407.76</v>
      </c>
      <c r="S768">
        <v>752.62</v>
      </c>
      <c r="T768">
        <v>10160.379999999999</v>
      </c>
      <c r="U768" t="s">
        <v>39</v>
      </c>
    </row>
    <row r="769" spans="1:21" x14ac:dyDescent="0.35">
      <c r="A769" t="s">
        <v>883</v>
      </c>
      <c r="B769" s="1">
        <v>45616</v>
      </c>
      <c r="C769">
        <v>2024</v>
      </c>
      <c r="D769" t="s">
        <v>97</v>
      </c>
      <c r="E769" t="s">
        <v>98</v>
      </c>
      <c r="F769" t="s">
        <v>35</v>
      </c>
      <c r="G769" t="s">
        <v>99</v>
      </c>
      <c r="H769" t="s">
        <v>78</v>
      </c>
      <c r="I769" t="s">
        <v>79</v>
      </c>
      <c r="J769" t="s">
        <v>28</v>
      </c>
      <c r="K769" t="s">
        <v>68</v>
      </c>
      <c r="L769" t="s">
        <v>38</v>
      </c>
      <c r="M769">
        <v>30</v>
      </c>
      <c r="N769">
        <v>5.99</v>
      </c>
      <c r="O769">
        <v>179.7</v>
      </c>
      <c r="P769">
        <v>0.16</v>
      </c>
      <c r="Q769">
        <v>28.75</v>
      </c>
      <c r="R769">
        <v>150.94999999999999</v>
      </c>
      <c r="S769">
        <v>12.08</v>
      </c>
      <c r="T769">
        <v>163.03</v>
      </c>
      <c r="U769" t="s">
        <v>39</v>
      </c>
    </row>
    <row r="770" spans="1:21" x14ac:dyDescent="0.35">
      <c r="A770" t="s">
        <v>884</v>
      </c>
      <c r="B770" s="1">
        <v>45617</v>
      </c>
      <c r="C770">
        <v>2024</v>
      </c>
      <c r="D770" t="s">
        <v>122</v>
      </c>
      <c r="E770" t="s">
        <v>123</v>
      </c>
      <c r="F770" t="s">
        <v>64</v>
      </c>
      <c r="G770" t="s">
        <v>124</v>
      </c>
      <c r="H770" t="s">
        <v>125</v>
      </c>
      <c r="I770" t="s">
        <v>126</v>
      </c>
      <c r="J770" t="s">
        <v>28</v>
      </c>
      <c r="K770" t="s">
        <v>68</v>
      </c>
      <c r="L770" t="s">
        <v>73</v>
      </c>
      <c r="M770">
        <v>12</v>
      </c>
      <c r="N770">
        <v>79.989999999999995</v>
      </c>
      <c r="O770">
        <v>959.88</v>
      </c>
      <c r="P770">
        <v>0.05</v>
      </c>
      <c r="Q770">
        <v>47.99</v>
      </c>
      <c r="R770">
        <v>911.89</v>
      </c>
      <c r="S770">
        <v>72.95</v>
      </c>
      <c r="T770">
        <v>0</v>
      </c>
      <c r="U770" t="s">
        <v>31</v>
      </c>
    </row>
    <row r="771" spans="1:21" x14ac:dyDescent="0.35">
      <c r="A771" t="s">
        <v>885</v>
      </c>
      <c r="B771" s="1">
        <v>45618</v>
      </c>
      <c r="C771">
        <v>2024</v>
      </c>
      <c r="D771" t="s">
        <v>142</v>
      </c>
      <c r="E771" t="s">
        <v>143</v>
      </c>
      <c r="F771" t="s">
        <v>43</v>
      </c>
      <c r="G771" t="s">
        <v>144</v>
      </c>
      <c r="H771" t="s">
        <v>128</v>
      </c>
      <c r="I771" t="s">
        <v>129</v>
      </c>
      <c r="J771" t="s">
        <v>47</v>
      </c>
      <c r="K771" t="s">
        <v>68</v>
      </c>
      <c r="L771" t="s">
        <v>69</v>
      </c>
      <c r="M771">
        <v>6</v>
      </c>
      <c r="N771">
        <v>399.99</v>
      </c>
      <c r="O771">
        <v>2399.94</v>
      </c>
      <c r="P771">
        <v>0</v>
      </c>
      <c r="Q771">
        <v>0</v>
      </c>
      <c r="R771">
        <v>2399.94</v>
      </c>
      <c r="S771">
        <v>192</v>
      </c>
      <c r="T771">
        <v>2591.94</v>
      </c>
      <c r="U771" t="s">
        <v>39</v>
      </c>
    </row>
    <row r="772" spans="1:21" x14ac:dyDescent="0.35">
      <c r="A772" t="s">
        <v>886</v>
      </c>
      <c r="B772" s="1">
        <v>45618</v>
      </c>
      <c r="C772">
        <v>2024</v>
      </c>
      <c r="D772" t="s">
        <v>87</v>
      </c>
      <c r="E772" t="s">
        <v>88</v>
      </c>
      <c r="F772" t="s">
        <v>24</v>
      </c>
      <c r="G772" t="s">
        <v>89</v>
      </c>
      <c r="H772" t="s">
        <v>54</v>
      </c>
      <c r="I772" t="s">
        <v>55</v>
      </c>
      <c r="J772" t="s">
        <v>56</v>
      </c>
      <c r="K772" t="s">
        <v>68</v>
      </c>
      <c r="L772" t="s">
        <v>69</v>
      </c>
      <c r="M772">
        <v>20</v>
      </c>
      <c r="N772">
        <v>39.99</v>
      </c>
      <c r="O772">
        <v>799.8</v>
      </c>
      <c r="P772">
        <v>0.08</v>
      </c>
      <c r="Q772">
        <v>63.98</v>
      </c>
      <c r="R772">
        <v>735.82</v>
      </c>
      <c r="S772">
        <v>58.87</v>
      </c>
      <c r="T772">
        <v>0</v>
      </c>
      <c r="U772" t="s">
        <v>31</v>
      </c>
    </row>
    <row r="773" spans="1:21" x14ac:dyDescent="0.35">
      <c r="A773" t="s">
        <v>887</v>
      </c>
      <c r="B773" s="1">
        <v>45619</v>
      </c>
      <c r="C773">
        <v>2024</v>
      </c>
      <c r="D773" t="s">
        <v>97</v>
      </c>
      <c r="E773" t="s">
        <v>98</v>
      </c>
      <c r="F773" t="s">
        <v>35</v>
      </c>
      <c r="G773" t="s">
        <v>99</v>
      </c>
      <c r="H773" t="s">
        <v>26</v>
      </c>
      <c r="I773" t="s">
        <v>27</v>
      </c>
      <c r="J773" t="s">
        <v>28</v>
      </c>
      <c r="K773" t="s">
        <v>29</v>
      </c>
      <c r="L773" t="s">
        <v>69</v>
      </c>
      <c r="M773">
        <v>22</v>
      </c>
      <c r="N773">
        <v>8.99</v>
      </c>
      <c r="O773">
        <v>197.78</v>
      </c>
      <c r="P773">
        <v>0.08</v>
      </c>
      <c r="Q773">
        <v>15.82</v>
      </c>
      <c r="R773">
        <v>181.96</v>
      </c>
      <c r="S773">
        <v>14.56</v>
      </c>
      <c r="T773">
        <v>196.52</v>
      </c>
      <c r="U773" t="s">
        <v>111</v>
      </c>
    </row>
    <row r="774" spans="1:21" x14ac:dyDescent="0.35">
      <c r="A774" t="s">
        <v>888</v>
      </c>
      <c r="B774" s="1">
        <v>45621</v>
      </c>
      <c r="C774">
        <v>2024</v>
      </c>
      <c r="D774" t="s">
        <v>51</v>
      </c>
      <c r="E774" t="s">
        <v>52</v>
      </c>
      <c r="F774" t="s">
        <v>24</v>
      </c>
      <c r="G774" t="s">
        <v>53</v>
      </c>
      <c r="H774" t="s">
        <v>94</v>
      </c>
      <c r="I774" t="s">
        <v>95</v>
      </c>
      <c r="J774" t="s">
        <v>56</v>
      </c>
      <c r="K774" t="s">
        <v>48</v>
      </c>
      <c r="L774" t="s">
        <v>49</v>
      </c>
      <c r="M774">
        <v>23</v>
      </c>
      <c r="N774">
        <v>349.99</v>
      </c>
      <c r="O774">
        <v>8049.77</v>
      </c>
      <c r="P774">
        <v>0.08</v>
      </c>
      <c r="Q774">
        <v>643.98</v>
      </c>
      <c r="R774">
        <v>7405.79</v>
      </c>
      <c r="S774">
        <v>592.46</v>
      </c>
      <c r="T774">
        <v>7998.25</v>
      </c>
      <c r="U774" t="s">
        <v>111</v>
      </c>
    </row>
    <row r="775" spans="1:21" x14ac:dyDescent="0.35">
      <c r="A775" t="s">
        <v>889</v>
      </c>
      <c r="B775" s="1">
        <v>45622</v>
      </c>
      <c r="C775">
        <v>2024</v>
      </c>
      <c r="D775" t="s">
        <v>142</v>
      </c>
      <c r="E775" t="s">
        <v>143</v>
      </c>
      <c r="F775" t="s">
        <v>43</v>
      </c>
      <c r="G775" t="s">
        <v>144</v>
      </c>
      <c r="H775" t="s">
        <v>208</v>
      </c>
      <c r="I775" t="s">
        <v>209</v>
      </c>
      <c r="J775" t="s">
        <v>47</v>
      </c>
      <c r="K775" t="s">
        <v>60</v>
      </c>
      <c r="L775" t="s">
        <v>49</v>
      </c>
      <c r="M775">
        <v>21</v>
      </c>
      <c r="N775">
        <v>49.99</v>
      </c>
      <c r="O775">
        <v>1049.79</v>
      </c>
      <c r="P775">
        <v>0.08</v>
      </c>
      <c r="Q775">
        <v>83.98</v>
      </c>
      <c r="R775">
        <v>965.81</v>
      </c>
      <c r="S775">
        <v>77.260000000000005</v>
      </c>
      <c r="T775">
        <v>1043.07</v>
      </c>
      <c r="U775" t="s">
        <v>111</v>
      </c>
    </row>
    <row r="776" spans="1:21" x14ac:dyDescent="0.35">
      <c r="A776" t="s">
        <v>890</v>
      </c>
      <c r="B776" s="1">
        <v>45624</v>
      </c>
      <c r="C776">
        <v>2024</v>
      </c>
      <c r="D776" t="s">
        <v>75</v>
      </c>
      <c r="E776" t="s">
        <v>76</v>
      </c>
      <c r="F776" t="s">
        <v>64</v>
      </c>
      <c r="G776" t="s">
        <v>77</v>
      </c>
      <c r="H776" t="s">
        <v>26</v>
      </c>
      <c r="I776" t="s">
        <v>27</v>
      </c>
      <c r="J776" t="s">
        <v>28</v>
      </c>
      <c r="K776" t="s">
        <v>29</v>
      </c>
      <c r="L776" t="s">
        <v>38</v>
      </c>
      <c r="M776">
        <v>16</v>
      </c>
      <c r="N776">
        <v>8.99</v>
      </c>
      <c r="O776">
        <v>143.84</v>
      </c>
      <c r="P776">
        <v>0.13</v>
      </c>
      <c r="Q776">
        <v>18.7</v>
      </c>
      <c r="R776">
        <v>125.14</v>
      </c>
      <c r="S776">
        <v>10.01</v>
      </c>
      <c r="T776">
        <v>135.15</v>
      </c>
      <c r="U776" t="s">
        <v>111</v>
      </c>
    </row>
    <row r="777" spans="1:21" x14ac:dyDescent="0.35">
      <c r="A777" t="s">
        <v>891</v>
      </c>
      <c r="B777" s="1">
        <v>45625</v>
      </c>
      <c r="C777">
        <v>2024</v>
      </c>
      <c r="D777" t="s">
        <v>97</v>
      </c>
      <c r="E777" t="s">
        <v>98</v>
      </c>
      <c r="F777" t="s">
        <v>35</v>
      </c>
      <c r="G777" t="s">
        <v>99</v>
      </c>
      <c r="H777" t="s">
        <v>84</v>
      </c>
      <c r="I777" t="s">
        <v>85</v>
      </c>
      <c r="J777" t="s">
        <v>47</v>
      </c>
      <c r="K777" t="s">
        <v>37</v>
      </c>
      <c r="L777" t="s">
        <v>49</v>
      </c>
      <c r="M777">
        <v>23</v>
      </c>
      <c r="N777">
        <v>249.99</v>
      </c>
      <c r="O777">
        <v>5749.77</v>
      </c>
      <c r="P777">
        <v>0.08</v>
      </c>
      <c r="Q777">
        <v>459.98</v>
      </c>
      <c r="R777">
        <v>5289.79</v>
      </c>
      <c r="S777">
        <v>423.18</v>
      </c>
      <c r="T777">
        <v>5712.97</v>
      </c>
      <c r="U777" t="s">
        <v>111</v>
      </c>
    </row>
    <row r="778" spans="1:21" x14ac:dyDescent="0.35">
      <c r="A778" t="s">
        <v>892</v>
      </c>
      <c r="B778" s="1">
        <v>45625</v>
      </c>
      <c r="C778">
        <v>2024</v>
      </c>
      <c r="D778" t="s">
        <v>87</v>
      </c>
      <c r="E778" t="s">
        <v>88</v>
      </c>
      <c r="F778" t="s">
        <v>24</v>
      </c>
      <c r="G778" t="s">
        <v>89</v>
      </c>
      <c r="H778" t="s">
        <v>45</v>
      </c>
      <c r="I778" t="s">
        <v>46</v>
      </c>
      <c r="J778" t="s">
        <v>47</v>
      </c>
      <c r="K778" t="s">
        <v>29</v>
      </c>
      <c r="L778" t="s">
        <v>69</v>
      </c>
      <c r="M778">
        <v>23</v>
      </c>
      <c r="N778">
        <v>89.99</v>
      </c>
      <c r="O778">
        <v>2069.77</v>
      </c>
      <c r="P778">
        <v>0.08</v>
      </c>
      <c r="Q778">
        <v>165.58</v>
      </c>
      <c r="R778">
        <v>1904.19</v>
      </c>
      <c r="S778">
        <v>152.34</v>
      </c>
      <c r="T778">
        <v>2056.5300000000002</v>
      </c>
      <c r="U778" t="s">
        <v>39</v>
      </c>
    </row>
    <row r="779" spans="1:21" x14ac:dyDescent="0.35">
      <c r="A779" t="s">
        <v>893</v>
      </c>
      <c r="B779" s="1">
        <v>45627</v>
      </c>
      <c r="C779">
        <v>2024</v>
      </c>
      <c r="D779" t="s">
        <v>87</v>
      </c>
      <c r="E779" t="s">
        <v>88</v>
      </c>
      <c r="F779" t="s">
        <v>24</v>
      </c>
      <c r="G779" t="s">
        <v>89</v>
      </c>
      <c r="H779" t="s">
        <v>104</v>
      </c>
      <c r="I779" t="s">
        <v>105</v>
      </c>
      <c r="J779" t="s">
        <v>47</v>
      </c>
      <c r="K779" t="s">
        <v>37</v>
      </c>
      <c r="L779" t="s">
        <v>38</v>
      </c>
      <c r="M779">
        <v>13</v>
      </c>
      <c r="N779">
        <v>479.99</v>
      </c>
      <c r="O779">
        <v>6239.87</v>
      </c>
      <c r="P779">
        <v>0.13</v>
      </c>
      <c r="Q779">
        <v>811.18</v>
      </c>
      <c r="R779">
        <v>5428.69</v>
      </c>
      <c r="S779">
        <v>434.3</v>
      </c>
      <c r="T779">
        <v>5862.99</v>
      </c>
      <c r="U779" t="s">
        <v>39</v>
      </c>
    </row>
    <row r="780" spans="1:21" x14ac:dyDescent="0.35">
      <c r="A780" t="s">
        <v>894</v>
      </c>
      <c r="B780" s="1">
        <v>45628</v>
      </c>
      <c r="C780">
        <v>2024</v>
      </c>
      <c r="D780" t="s">
        <v>81</v>
      </c>
      <c r="E780" t="s">
        <v>82</v>
      </c>
      <c r="F780" t="s">
        <v>35</v>
      </c>
      <c r="G780" t="s">
        <v>83</v>
      </c>
      <c r="H780" t="s">
        <v>104</v>
      </c>
      <c r="I780" t="s">
        <v>105</v>
      </c>
      <c r="J780" t="s">
        <v>47</v>
      </c>
      <c r="K780" t="s">
        <v>68</v>
      </c>
      <c r="L780" t="s">
        <v>49</v>
      </c>
      <c r="M780">
        <v>25</v>
      </c>
      <c r="N780">
        <v>479.99</v>
      </c>
      <c r="O780">
        <v>11999.75</v>
      </c>
      <c r="P780">
        <v>0.08</v>
      </c>
      <c r="Q780">
        <v>959.98</v>
      </c>
      <c r="R780">
        <v>11039.77</v>
      </c>
      <c r="S780">
        <v>883.18</v>
      </c>
      <c r="T780">
        <v>11922.95</v>
      </c>
      <c r="U780" t="s">
        <v>39</v>
      </c>
    </row>
    <row r="781" spans="1:21" x14ac:dyDescent="0.35">
      <c r="A781" t="s">
        <v>895</v>
      </c>
      <c r="B781" s="1">
        <v>45628</v>
      </c>
      <c r="C781">
        <v>2024</v>
      </c>
      <c r="D781" t="s">
        <v>87</v>
      </c>
      <c r="E781" t="s">
        <v>88</v>
      </c>
      <c r="F781" t="s">
        <v>24</v>
      </c>
      <c r="G781" t="s">
        <v>89</v>
      </c>
      <c r="H781" t="s">
        <v>26</v>
      </c>
      <c r="I781" t="s">
        <v>27</v>
      </c>
      <c r="J781" t="s">
        <v>28</v>
      </c>
      <c r="K781" t="s">
        <v>48</v>
      </c>
      <c r="L781" t="s">
        <v>30</v>
      </c>
      <c r="M781">
        <v>23</v>
      </c>
      <c r="N781">
        <v>8.99</v>
      </c>
      <c r="O781">
        <v>206.77</v>
      </c>
      <c r="P781">
        <v>0.08</v>
      </c>
      <c r="Q781">
        <v>16.54</v>
      </c>
      <c r="R781">
        <v>190.23</v>
      </c>
      <c r="S781">
        <v>15.22</v>
      </c>
      <c r="T781">
        <v>205.45</v>
      </c>
      <c r="U781" t="s">
        <v>39</v>
      </c>
    </row>
    <row r="782" spans="1:21" x14ac:dyDescent="0.35">
      <c r="A782" t="s">
        <v>896</v>
      </c>
      <c r="B782" s="1">
        <v>45629</v>
      </c>
      <c r="C782">
        <v>2024</v>
      </c>
      <c r="D782" t="s">
        <v>81</v>
      </c>
      <c r="E782" t="s">
        <v>82</v>
      </c>
      <c r="F782" t="s">
        <v>35</v>
      </c>
      <c r="G782" t="s">
        <v>83</v>
      </c>
      <c r="H782" t="s">
        <v>26</v>
      </c>
      <c r="I782" t="s">
        <v>27</v>
      </c>
      <c r="J782" t="s">
        <v>28</v>
      </c>
      <c r="K782" t="s">
        <v>60</v>
      </c>
      <c r="L782" t="s">
        <v>69</v>
      </c>
      <c r="M782">
        <v>25</v>
      </c>
      <c r="N782">
        <v>8.99</v>
      </c>
      <c r="O782">
        <v>224.75</v>
      </c>
      <c r="P782">
        <v>0.08</v>
      </c>
      <c r="Q782">
        <v>17.98</v>
      </c>
      <c r="R782">
        <v>206.77</v>
      </c>
      <c r="S782">
        <v>16.54</v>
      </c>
      <c r="T782">
        <v>223.31</v>
      </c>
      <c r="U782" t="s">
        <v>39</v>
      </c>
    </row>
    <row r="783" spans="1:21" x14ac:dyDescent="0.35">
      <c r="A783" t="s">
        <v>897</v>
      </c>
      <c r="B783" s="1">
        <v>45629</v>
      </c>
      <c r="C783">
        <v>2024</v>
      </c>
      <c r="D783" t="s">
        <v>62</v>
      </c>
      <c r="E783" t="s">
        <v>63</v>
      </c>
      <c r="F783" t="s">
        <v>64</v>
      </c>
      <c r="G783" t="s">
        <v>65</v>
      </c>
      <c r="H783" t="s">
        <v>104</v>
      </c>
      <c r="I783" t="s">
        <v>105</v>
      </c>
      <c r="J783" t="s">
        <v>47</v>
      </c>
      <c r="K783" t="s">
        <v>48</v>
      </c>
      <c r="L783" t="s">
        <v>69</v>
      </c>
      <c r="M783">
        <v>15</v>
      </c>
      <c r="N783">
        <v>479.99</v>
      </c>
      <c r="O783">
        <v>7199.85</v>
      </c>
      <c r="P783">
        <v>0.05</v>
      </c>
      <c r="Q783">
        <v>359.99</v>
      </c>
      <c r="R783">
        <v>6839.86</v>
      </c>
      <c r="S783">
        <v>547.19000000000005</v>
      </c>
      <c r="T783">
        <v>7387.05</v>
      </c>
      <c r="U783" t="s">
        <v>39</v>
      </c>
    </row>
    <row r="784" spans="1:21" x14ac:dyDescent="0.35">
      <c r="A784" t="s">
        <v>898</v>
      </c>
      <c r="B784" s="1">
        <v>45630</v>
      </c>
      <c r="C784">
        <v>2024</v>
      </c>
      <c r="D784" t="s">
        <v>75</v>
      </c>
      <c r="E784" t="s">
        <v>76</v>
      </c>
      <c r="F784" t="s">
        <v>64</v>
      </c>
      <c r="G784" t="s">
        <v>77</v>
      </c>
      <c r="H784" t="s">
        <v>78</v>
      </c>
      <c r="I784" t="s">
        <v>79</v>
      </c>
      <c r="J784" t="s">
        <v>28</v>
      </c>
      <c r="K784" t="s">
        <v>29</v>
      </c>
      <c r="L784" t="s">
        <v>69</v>
      </c>
      <c r="M784">
        <v>14</v>
      </c>
      <c r="N784">
        <v>5.99</v>
      </c>
      <c r="O784">
        <v>83.86</v>
      </c>
      <c r="P784">
        <v>0.05</v>
      </c>
      <c r="Q784">
        <v>4.1900000000000004</v>
      </c>
      <c r="R784">
        <v>79.67</v>
      </c>
      <c r="S784">
        <v>6.37</v>
      </c>
      <c r="T784">
        <v>86.04</v>
      </c>
      <c r="U784" t="s">
        <v>39</v>
      </c>
    </row>
    <row r="785" spans="1:21" x14ac:dyDescent="0.35">
      <c r="A785" t="s">
        <v>899</v>
      </c>
      <c r="B785" s="1">
        <v>45631</v>
      </c>
      <c r="C785">
        <v>2024</v>
      </c>
      <c r="D785" t="s">
        <v>33</v>
      </c>
      <c r="E785" t="s">
        <v>34</v>
      </c>
      <c r="F785" t="s">
        <v>35</v>
      </c>
      <c r="G785" t="s">
        <v>36</v>
      </c>
      <c r="H785" t="s">
        <v>45</v>
      </c>
      <c r="I785" t="s">
        <v>46</v>
      </c>
      <c r="J785" t="s">
        <v>47</v>
      </c>
      <c r="K785" t="s">
        <v>60</v>
      </c>
      <c r="L785" t="s">
        <v>73</v>
      </c>
      <c r="M785">
        <v>12</v>
      </c>
      <c r="N785">
        <v>89.99</v>
      </c>
      <c r="O785">
        <v>1079.8800000000001</v>
      </c>
      <c r="P785">
        <v>0.05</v>
      </c>
      <c r="Q785">
        <v>53.99</v>
      </c>
      <c r="R785">
        <v>1025.8900000000001</v>
      </c>
      <c r="S785">
        <v>82.07</v>
      </c>
      <c r="T785">
        <v>1107.96</v>
      </c>
      <c r="U785" t="s">
        <v>39</v>
      </c>
    </row>
    <row r="786" spans="1:21" x14ac:dyDescent="0.35">
      <c r="A786" t="s">
        <v>900</v>
      </c>
      <c r="B786" s="1">
        <v>45632</v>
      </c>
      <c r="C786">
        <v>2024</v>
      </c>
      <c r="D786" t="s">
        <v>75</v>
      </c>
      <c r="E786" t="s">
        <v>76</v>
      </c>
      <c r="F786" t="s">
        <v>64</v>
      </c>
      <c r="G786" t="s">
        <v>77</v>
      </c>
      <c r="H786" t="s">
        <v>26</v>
      </c>
      <c r="I786" t="s">
        <v>27</v>
      </c>
      <c r="J786" t="s">
        <v>28</v>
      </c>
      <c r="K786" t="s">
        <v>48</v>
      </c>
      <c r="L786" t="s">
        <v>30</v>
      </c>
      <c r="M786">
        <v>8</v>
      </c>
      <c r="N786">
        <v>8.99</v>
      </c>
      <c r="O786">
        <v>71.92</v>
      </c>
      <c r="P786">
        <v>0</v>
      </c>
      <c r="Q786">
        <v>0</v>
      </c>
      <c r="R786">
        <v>71.92</v>
      </c>
      <c r="S786">
        <v>5.75</v>
      </c>
      <c r="T786">
        <v>77.67</v>
      </c>
      <c r="U786" t="s">
        <v>39</v>
      </c>
    </row>
    <row r="787" spans="1:21" x14ac:dyDescent="0.35">
      <c r="A787" t="s">
        <v>901</v>
      </c>
      <c r="B787" s="1">
        <v>45635</v>
      </c>
      <c r="C787">
        <v>2024</v>
      </c>
      <c r="D787" t="s">
        <v>107</v>
      </c>
      <c r="E787" t="s">
        <v>108</v>
      </c>
      <c r="F787" t="s">
        <v>35</v>
      </c>
      <c r="G787" t="s">
        <v>109</v>
      </c>
      <c r="H787" t="s">
        <v>58</v>
      </c>
      <c r="I787" t="s">
        <v>59</v>
      </c>
      <c r="J787" t="s">
        <v>56</v>
      </c>
      <c r="K787" t="s">
        <v>48</v>
      </c>
      <c r="L787" t="s">
        <v>30</v>
      </c>
      <c r="M787">
        <v>21</v>
      </c>
      <c r="N787">
        <v>599.99</v>
      </c>
      <c r="O787">
        <v>12599.79</v>
      </c>
      <c r="P787">
        <v>0.08</v>
      </c>
      <c r="Q787">
        <v>1007.98</v>
      </c>
      <c r="R787">
        <v>11591.81</v>
      </c>
      <c r="S787">
        <v>927.34</v>
      </c>
      <c r="T787">
        <v>12519.15</v>
      </c>
      <c r="U787" t="s">
        <v>39</v>
      </c>
    </row>
    <row r="788" spans="1:21" x14ac:dyDescent="0.35">
      <c r="A788" t="s">
        <v>902</v>
      </c>
      <c r="B788" s="1">
        <v>45638</v>
      </c>
      <c r="C788">
        <v>2024</v>
      </c>
      <c r="D788" t="s">
        <v>142</v>
      </c>
      <c r="E788" t="s">
        <v>143</v>
      </c>
      <c r="F788" t="s">
        <v>43</v>
      </c>
      <c r="G788" t="s">
        <v>144</v>
      </c>
      <c r="H788" t="s">
        <v>78</v>
      </c>
      <c r="I788" t="s">
        <v>79</v>
      </c>
      <c r="J788" t="s">
        <v>28</v>
      </c>
      <c r="K788" t="s">
        <v>37</v>
      </c>
      <c r="L788" t="s">
        <v>38</v>
      </c>
      <c r="M788">
        <v>2</v>
      </c>
      <c r="N788">
        <v>5.99</v>
      </c>
      <c r="O788">
        <v>11.98</v>
      </c>
      <c r="P788">
        <v>0.08</v>
      </c>
      <c r="Q788">
        <v>0.96</v>
      </c>
      <c r="R788">
        <v>11.02</v>
      </c>
      <c r="S788">
        <v>0.88</v>
      </c>
      <c r="T788">
        <v>0</v>
      </c>
      <c r="U788" t="s">
        <v>31</v>
      </c>
    </row>
    <row r="789" spans="1:21" x14ac:dyDescent="0.35">
      <c r="A789" t="s">
        <v>903</v>
      </c>
      <c r="B789" s="1">
        <v>45638</v>
      </c>
      <c r="C789">
        <v>2024</v>
      </c>
      <c r="D789" t="s">
        <v>33</v>
      </c>
      <c r="E789" t="s">
        <v>34</v>
      </c>
      <c r="F789" t="s">
        <v>35</v>
      </c>
      <c r="G789" t="s">
        <v>36</v>
      </c>
      <c r="H789" t="s">
        <v>71</v>
      </c>
      <c r="I789" t="s">
        <v>72</v>
      </c>
      <c r="J789" t="s">
        <v>47</v>
      </c>
      <c r="K789" t="s">
        <v>29</v>
      </c>
      <c r="L789" t="s">
        <v>69</v>
      </c>
      <c r="M789">
        <v>12</v>
      </c>
      <c r="N789">
        <v>1199.99</v>
      </c>
      <c r="O789">
        <v>14399.88</v>
      </c>
      <c r="P789">
        <v>0.05</v>
      </c>
      <c r="Q789">
        <v>719.99</v>
      </c>
      <c r="R789">
        <v>13679.89</v>
      </c>
      <c r="S789">
        <v>1094.3900000000001</v>
      </c>
      <c r="T789">
        <v>14774.28</v>
      </c>
      <c r="U789" t="s">
        <v>39</v>
      </c>
    </row>
    <row r="790" spans="1:21" x14ac:dyDescent="0.35">
      <c r="A790" t="s">
        <v>904</v>
      </c>
      <c r="B790" s="1">
        <v>45640</v>
      </c>
      <c r="C790">
        <v>2024</v>
      </c>
      <c r="D790" t="s">
        <v>148</v>
      </c>
      <c r="E790" t="s">
        <v>149</v>
      </c>
      <c r="F790" t="s">
        <v>43</v>
      </c>
      <c r="G790" t="s">
        <v>150</v>
      </c>
      <c r="H790" t="s">
        <v>66</v>
      </c>
      <c r="I790" t="s">
        <v>67</v>
      </c>
      <c r="J790" t="s">
        <v>56</v>
      </c>
      <c r="K790" t="s">
        <v>48</v>
      </c>
      <c r="L790" t="s">
        <v>38</v>
      </c>
      <c r="M790">
        <v>11</v>
      </c>
      <c r="N790">
        <v>229.99</v>
      </c>
      <c r="O790">
        <v>2529.89</v>
      </c>
      <c r="P790">
        <v>0.13</v>
      </c>
      <c r="Q790">
        <v>328.89</v>
      </c>
      <c r="R790">
        <v>2201</v>
      </c>
      <c r="S790">
        <v>176.08</v>
      </c>
      <c r="T790">
        <v>2377.08</v>
      </c>
      <c r="U790" t="s">
        <v>111</v>
      </c>
    </row>
    <row r="791" spans="1:21" x14ac:dyDescent="0.35">
      <c r="A791" t="s">
        <v>905</v>
      </c>
      <c r="B791" s="1">
        <v>45641</v>
      </c>
      <c r="C791">
        <v>2024</v>
      </c>
      <c r="D791" t="s">
        <v>148</v>
      </c>
      <c r="E791" t="s">
        <v>149</v>
      </c>
      <c r="F791" t="s">
        <v>43</v>
      </c>
      <c r="G791" t="s">
        <v>150</v>
      </c>
      <c r="H791" t="s">
        <v>145</v>
      </c>
      <c r="I791" t="s">
        <v>146</v>
      </c>
      <c r="J791" t="s">
        <v>47</v>
      </c>
      <c r="K791" t="s">
        <v>60</v>
      </c>
      <c r="L791" t="s">
        <v>38</v>
      </c>
      <c r="M791">
        <v>13</v>
      </c>
      <c r="N791">
        <v>129.99</v>
      </c>
      <c r="O791">
        <v>1689.87</v>
      </c>
      <c r="P791">
        <v>0.13</v>
      </c>
      <c r="Q791">
        <v>219.68</v>
      </c>
      <c r="R791">
        <v>1470.19</v>
      </c>
      <c r="S791">
        <v>117.62</v>
      </c>
      <c r="T791">
        <v>1587.81</v>
      </c>
      <c r="U791" t="s">
        <v>39</v>
      </c>
    </row>
    <row r="792" spans="1:21" x14ac:dyDescent="0.35">
      <c r="A792" t="s">
        <v>906</v>
      </c>
      <c r="B792" s="1">
        <v>45641</v>
      </c>
      <c r="C792">
        <v>2024</v>
      </c>
      <c r="D792" t="s">
        <v>142</v>
      </c>
      <c r="E792" t="s">
        <v>143</v>
      </c>
      <c r="F792" t="s">
        <v>43</v>
      </c>
      <c r="G792" t="s">
        <v>144</v>
      </c>
      <c r="H792" t="s">
        <v>84</v>
      </c>
      <c r="I792" t="s">
        <v>85</v>
      </c>
      <c r="J792" t="s">
        <v>47</v>
      </c>
      <c r="K792" t="s">
        <v>37</v>
      </c>
      <c r="L792" t="s">
        <v>38</v>
      </c>
      <c r="M792">
        <v>1</v>
      </c>
      <c r="N792">
        <v>249.99</v>
      </c>
      <c r="O792">
        <v>249.99</v>
      </c>
      <c r="P792">
        <v>0.08</v>
      </c>
      <c r="Q792">
        <v>20</v>
      </c>
      <c r="R792">
        <v>229.99</v>
      </c>
      <c r="S792">
        <v>18.399999999999999</v>
      </c>
      <c r="T792">
        <v>0</v>
      </c>
      <c r="U792" t="s">
        <v>31</v>
      </c>
    </row>
    <row r="793" spans="1:21" x14ac:dyDescent="0.35">
      <c r="A793" t="s">
        <v>907</v>
      </c>
      <c r="B793" s="1">
        <v>45643</v>
      </c>
      <c r="C793">
        <v>2024</v>
      </c>
      <c r="D793" t="s">
        <v>33</v>
      </c>
      <c r="E793" t="s">
        <v>34</v>
      </c>
      <c r="F793" t="s">
        <v>35</v>
      </c>
      <c r="G793" t="s">
        <v>36</v>
      </c>
      <c r="H793" t="s">
        <v>145</v>
      </c>
      <c r="I793" t="s">
        <v>146</v>
      </c>
      <c r="J793" t="s">
        <v>47</v>
      </c>
      <c r="K793" t="s">
        <v>60</v>
      </c>
      <c r="L793" t="s">
        <v>30</v>
      </c>
      <c r="M793">
        <v>25</v>
      </c>
      <c r="N793">
        <v>129.99</v>
      </c>
      <c r="O793">
        <v>3249.75</v>
      </c>
      <c r="P793">
        <v>0.08</v>
      </c>
      <c r="Q793">
        <v>259.98</v>
      </c>
      <c r="R793">
        <v>2989.77</v>
      </c>
      <c r="S793">
        <v>239.18</v>
      </c>
      <c r="T793">
        <v>3228.95</v>
      </c>
      <c r="U793" t="s">
        <v>111</v>
      </c>
    </row>
    <row r="794" spans="1:21" x14ac:dyDescent="0.35">
      <c r="A794" t="s">
        <v>908</v>
      </c>
      <c r="B794" s="1">
        <v>45644</v>
      </c>
      <c r="C794">
        <v>2024</v>
      </c>
      <c r="D794" t="s">
        <v>148</v>
      </c>
      <c r="E794" t="s">
        <v>149</v>
      </c>
      <c r="F794" t="s">
        <v>43</v>
      </c>
      <c r="G794" t="s">
        <v>150</v>
      </c>
      <c r="H794" t="s">
        <v>45</v>
      </c>
      <c r="I794" t="s">
        <v>46</v>
      </c>
      <c r="J794" t="s">
        <v>47</v>
      </c>
      <c r="K794" t="s">
        <v>29</v>
      </c>
      <c r="L794" t="s">
        <v>38</v>
      </c>
      <c r="M794">
        <v>24</v>
      </c>
      <c r="N794">
        <v>89.99</v>
      </c>
      <c r="O794">
        <v>2159.7600000000002</v>
      </c>
      <c r="P794">
        <v>0.16</v>
      </c>
      <c r="Q794">
        <v>345.56</v>
      </c>
      <c r="R794">
        <v>1814.2</v>
      </c>
      <c r="S794">
        <v>145.13999999999999</v>
      </c>
      <c r="T794">
        <v>1959.34</v>
      </c>
      <c r="U794" t="s">
        <v>39</v>
      </c>
    </row>
    <row r="795" spans="1:21" x14ac:dyDescent="0.35">
      <c r="A795" t="s">
        <v>909</v>
      </c>
      <c r="B795" s="1">
        <v>45650</v>
      </c>
      <c r="C795">
        <v>2024</v>
      </c>
      <c r="D795" t="s">
        <v>81</v>
      </c>
      <c r="E795" t="s">
        <v>82</v>
      </c>
      <c r="F795" t="s">
        <v>35</v>
      </c>
      <c r="G795" t="s">
        <v>83</v>
      </c>
      <c r="H795" t="s">
        <v>66</v>
      </c>
      <c r="I795" t="s">
        <v>67</v>
      </c>
      <c r="J795" t="s">
        <v>56</v>
      </c>
      <c r="K795" t="s">
        <v>37</v>
      </c>
      <c r="L795" t="s">
        <v>30</v>
      </c>
      <c r="M795">
        <v>23</v>
      </c>
      <c r="N795">
        <v>229.99</v>
      </c>
      <c r="O795">
        <v>5289.77</v>
      </c>
      <c r="P795">
        <v>0.08</v>
      </c>
      <c r="Q795">
        <v>423.18</v>
      </c>
      <c r="R795">
        <v>4866.59</v>
      </c>
      <c r="S795">
        <v>389.33</v>
      </c>
      <c r="T795">
        <v>5255.92</v>
      </c>
      <c r="U795" t="s">
        <v>39</v>
      </c>
    </row>
    <row r="796" spans="1:21" x14ac:dyDescent="0.35">
      <c r="A796" t="s">
        <v>910</v>
      </c>
      <c r="B796" s="1">
        <v>45650</v>
      </c>
      <c r="C796">
        <v>2024</v>
      </c>
      <c r="D796" t="s">
        <v>62</v>
      </c>
      <c r="E796" t="s">
        <v>63</v>
      </c>
      <c r="F796" t="s">
        <v>64</v>
      </c>
      <c r="G796" t="s">
        <v>65</v>
      </c>
      <c r="H796" t="s">
        <v>100</v>
      </c>
      <c r="I796" t="s">
        <v>101</v>
      </c>
      <c r="J796" t="s">
        <v>47</v>
      </c>
      <c r="K796" t="s">
        <v>48</v>
      </c>
      <c r="L796" t="s">
        <v>49</v>
      </c>
      <c r="M796">
        <v>20</v>
      </c>
      <c r="N796">
        <v>29.99</v>
      </c>
      <c r="O796">
        <v>599.79999999999995</v>
      </c>
      <c r="P796">
        <v>0.08</v>
      </c>
      <c r="Q796">
        <v>47.98</v>
      </c>
      <c r="R796">
        <v>551.82000000000005</v>
      </c>
      <c r="S796">
        <v>44.15</v>
      </c>
      <c r="T796">
        <v>0</v>
      </c>
      <c r="U796" t="s">
        <v>31</v>
      </c>
    </row>
    <row r="797" spans="1:21" x14ac:dyDescent="0.35">
      <c r="A797" t="s">
        <v>911</v>
      </c>
      <c r="B797" s="1">
        <v>45650</v>
      </c>
      <c r="C797">
        <v>2024</v>
      </c>
      <c r="D797" t="s">
        <v>148</v>
      </c>
      <c r="E797" t="s">
        <v>149</v>
      </c>
      <c r="F797" t="s">
        <v>43</v>
      </c>
      <c r="G797" t="s">
        <v>150</v>
      </c>
      <c r="H797" t="s">
        <v>84</v>
      </c>
      <c r="I797" t="s">
        <v>85</v>
      </c>
      <c r="J797" t="s">
        <v>47</v>
      </c>
      <c r="K797" t="s">
        <v>37</v>
      </c>
      <c r="L797" t="s">
        <v>30</v>
      </c>
      <c r="M797">
        <v>23</v>
      </c>
      <c r="N797">
        <v>249.99</v>
      </c>
      <c r="O797">
        <v>5749.77</v>
      </c>
      <c r="P797">
        <v>0.08</v>
      </c>
      <c r="Q797">
        <v>459.98</v>
      </c>
      <c r="R797">
        <v>5289.79</v>
      </c>
      <c r="S797">
        <v>423.18</v>
      </c>
      <c r="T797">
        <v>0</v>
      </c>
      <c r="U797" t="s">
        <v>31</v>
      </c>
    </row>
    <row r="798" spans="1:21" x14ac:dyDescent="0.35">
      <c r="A798" t="s">
        <v>912</v>
      </c>
      <c r="B798" s="1">
        <v>45650</v>
      </c>
      <c r="C798">
        <v>2024</v>
      </c>
      <c r="D798" t="s">
        <v>22</v>
      </c>
      <c r="E798" t="s">
        <v>23</v>
      </c>
      <c r="F798" t="s">
        <v>24</v>
      </c>
      <c r="G798" t="s">
        <v>25</v>
      </c>
      <c r="H798" t="s">
        <v>128</v>
      </c>
      <c r="I798" t="s">
        <v>129</v>
      </c>
      <c r="J798" t="s">
        <v>47</v>
      </c>
      <c r="K798" t="s">
        <v>29</v>
      </c>
      <c r="L798" t="s">
        <v>73</v>
      </c>
      <c r="M798">
        <v>20</v>
      </c>
      <c r="N798">
        <v>399.99</v>
      </c>
      <c r="O798">
        <v>7999.8</v>
      </c>
      <c r="P798">
        <v>0.08</v>
      </c>
      <c r="Q798">
        <v>639.98</v>
      </c>
      <c r="R798">
        <v>7359.82</v>
      </c>
      <c r="S798">
        <v>588.79</v>
      </c>
      <c r="T798">
        <v>7948.61</v>
      </c>
      <c r="U798" t="s">
        <v>39</v>
      </c>
    </row>
    <row r="799" spans="1:21" x14ac:dyDescent="0.35">
      <c r="A799" t="s">
        <v>913</v>
      </c>
      <c r="B799" s="1">
        <v>45652</v>
      </c>
      <c r="C799">
        <v>2024</v>
      </c>
      <c r="D799" t="s">
        <v>33</v>
      </c>
      <c r="E799" t="s">
        <v>34</v>
      </c>
      <c r="F799" t="s">
        <v>35</v>
      </c>
      <c r="G799" t="s">
        <v>36</v>
      </c>
      <c r="H799" t="s">
        <v>104</v>
      </c>
      <c r="I799" t="s">
        <v>105</v>
      </c>
      <c r="J799" t="s">
        <v>47</v>
      </c>
      <c r="K799" t="s">
        <v>68</v>
      </c>
      <c r="L799" t="s">
        <v>73</v>
      </c>
      <c r="M799">
        <v>10</v>
      </c>
      <c r="N799">
        <v>479.99</v>
      </c>
      <c r="O799">
        <v>4799.8999999999996</v>
      </c>
      <c r="P799">
        <v>0.05</v>
      </c>
      <c r="Q799">
        <v>240</v>
      </c>
      <c r="R799">
        <v>4559.8999999999996</v>
      </c>
      <c r="S799">
        <v>364.79</v>
      </c>
      <c r="T799">
        <v>4924.6899999999996</v>
      </c>
      <c r="U799" t="s">
        <v>111</v>
      </c>
    </row>
    <row r="800" spans="1:21" x14ac:dyDescent="0.35">
      <c r="A800" t="s">
        <v>914</v>
      </c>
      <c r="B800" s="1">
        <v>45660</v>
      </c>
      <c r="C800">
        <v>2025</v>
      </c>
      <c r="D800" t="s">
        <v>186</v>
      </c>
      <c r="E800" t="s">
        <v>187</v>
      </c>
      <c r="F800" t="s">
        <v>43</v>
      </c>
      <c r="G800" t="s">
        <v>188</v>
      </c>
      <c r="H800" t="s">
        <v>45</v>
      </c>
      <c r="I800" t="s">
        <v>46</v>
      </c>
      <c r="J800" t="s">
        <v>47</v>
      </c>
      <c r="K800" t="s">
        <v>37</v>
      </c>
      <c r="L800" t="s">
        <v>49</v>
      </c>
      <c r="M800">
        <v>6</v>
      </c>
      <c r="N800">
        <v>89.99</v>
      </c>
      <c r="O800">
        <v>539.94000000000005</v>
      </c>
      <c r="P800">
        <v>0</v>
      </c>
      <c r="Q800">
        <v>0</v>
      </c>
      <c r="R800">
        <v>539.94000000000005</v>
      </c>
      <c r="S800">
        <v>43.2</v>
      </c>
      <c r="T800">
        <v>583.14</v>
      </c>
      <c r="U800" t="s">
        <v>39</v>
      </c>
    </row>
    <row r="801" spans="1:21" x14ac:dyDescent="0.35">
      <c r="A801" t="s">
        <v>915</v>
      </c>
      <c r="B801" s="1">
        <v>45661</v>
      </c>
      <c r="C801">
        <v>2025</v>
      </c>
      <c r="D801" t="s">
        <v>33</v>
      </c>
      <c r="E801" t="s">
        <v>34</v>
      </c>
      <c r="F801" t="s">
        <v>35</v>
      </c>
      <c r="G801" t="s">
        <v>36</v>
      </c>
      <c r="H801" t="s">
        <v>54</v>
      </c>
      <c r="I801" t="s">
        <v>55</v>
      </c>
      <c r="J801" t="s">
        <v>56</v>
      </c>
      <c r="K801" t="s">
        <v>68</v>
      </c>
      <c r="L801" t="s">
        <v>73</v>
      </c>
      <c r="M801">
        <v>18</v>
      </c>
      <c r="N801">
        <v>39.99</v>
      </c>
      <c r="O801">
        <v>719.82</v>
      </c>
      <c r="P801">
        <v>0.05</v>
      </c>
      <c r="Q801">
        <v>35.99</v>
      </c>
      <c r="R801">
        <v>683.83</v>
      </c>
      <c r="S801">
        <v>54.71</v>
      </c>
      <c r="T801">
        <v>0</v>
      </c>
      <c r="U801" t="s">
        <v>31</v>
      </c>
    </row>
    <row r="802" spans="1:21" x14ac:dyDescent="0.35">
      <c r="A802" t="s">
        <v>916</v>
      </c>
      <c r="B802" s="1">
        <v>45661</v>
      </c>
      <c r="C802">
        <v>2025</v>
      </c>
      <c r="D802" t="s">
        <v>51</v>
      </c>
      <c r="E802" t="s">
        <v>52</v>
      </c>
      <c r="F802" t="s">
        <v>24</v>
      </c>
      <c r="G802" t="s">
        <v>53</v>
      </c>
      <c r="H802" t="s">
        <v>145</v>
      </c>
      <c r="I802" t="s">
        <v>146</v>
      </c>
      <c r="J802" t="s">
        <v>47</v>
      </c>
      <c r="K802" t="s">
        <v>29</v>
      </c>
      <c r="L802" t="s">
        <v>69</v>
      </c>
      <c r="M802">
        <v>24</v>
      </c>
      <c r="N802">
        <v>129.99</v>
      </c>
      <c r="O802">
        <v>3119.76</v>
      </c>
      <c r="P802">
        <v>0.08</v>
      </c>
      <c r="Q802">
        <v>249.58</v>
      </c>
      <c r="R802">
        <v>2870.18</v>
      </c>
      <c r="S802">
        <v>229.61</v>
      </c>
      <c r="T802">
        <v>3099.79</v>
      </c>
      <c r="U802" t="s">
        <v>111</v>
      </c>
    </row>
    <row r="803" spans="1:21" x14ac:dyDescent="0.35">
      <c r="A803" t="s">
        <v>917</v>
      </c>
      <c r="B803" s="1">
        <v>45664</v>
      </c>
      <c r="C803">
        <v>2025</v>
      </c>
      <c r="D803" t="s">
        <v>97</v>
      </c>
      <c r="E803" t="s">
        <v>98</v>
      </c>
      <c r="F803" t="s">
        <v>35</v>
      </c>
      <c r="G803" t="s">
        <v>99</v>
      </c>
      <c r="H803" t="s">
        <v>71</v>
      </c>
      <c r="I803" t="s">
        <v>72</v>
      </c>
      <c r="J803" t="s">
        <v>47</v>
      </c>
      <c r="K803" t="s">
        <v>29</v>
      </c>
      <c r="L803" t="s">
        <v>30</v>
      </c>
      <c r="M803">
        <v>3</v>
      </c>
      <c r="N803">
        <v>1199.99</v>
      </c>
      <c r="O803">
        <v>3599.97</v>
      </c>
      <c r="P803">
        <v>0</v>
      </c>
      <c r="Q803">
        <v>0</v>
      </c>
      <c r="R803">
        <v>3599.97</v>
      </c>
      <c r="S803">
        <v>288</v>
      </c>
      <c r="T803">
        <v>3887.97</v>
      </c>
      <c r="U803" t="s">
        <v>111</v>
      </c>
    </row>
    <row r="804" spans="1:21" x14ac:dyDescent="0.35">
      <c r="A804" t="s">
        <v>918</v>
      </c>
      <c r="B804" s="1">
        <v>45667</v>
      </c>
      <c r="C804">
        <v>2025</v>
      </c>
      <c r="D804" t="s">
        <v>91</v>
      </c>
      <c r="E804" t="s">
        <v>92</v>
      </c>
      <c r="F804" t="s">
        <v>24</v>
      </c>
      <c r="G804" t="s">
        <v>93</v>
      </c>
      <c r="H804" t="s">
        <v>128</v>
      </c>
      <c r="I804" t="s">
        <v>129</v>
      </c>
      <c r="J804" t="s">
        <v>47</v>
      </c>
      <c r="K804" t="s">
        <v>48</v>
      </c>
      <c r="L804" t="s">
        <v>38</v>
      </c>
      <c r="M804">
        <v>6</v>
      </c>
      <c r="N804">
        <v>399.99</v>
      </c>
      <c r="O804">
        <v>2399.94</v>
      </c>
      <c r="P804">
        <v>0.08</v>
      </c>
      <c r="Q804">
        <v>192</v>
      </c>
      <c r="R804">
        <v>2207.94</v>
      </c>
      <c r="S804">
        <v>176.64</v>
      </c>
      <c r="T804">
        <v>2384.58</v>
      </c>
      <c r="U804" t="s">
        <v>111</v>
      </c>
    </row>
    <row r="805" spans="1:21" x14ac:dyDescent="0.35">
      <c r="A805" t="s">
        <v>919</v>
      </c>
      <c r="B805" s="1">
        <v>45668</v>
      </c>
      <c r="C805">
        <v>2025</v>
      </c>
      <c r="D805" t="s">
        <v>87</v>
      </c>
      <c r="E805" t="s">
        <v>88</v>
      </c>
      <c r="F805" t="s">
        <v>24</v>
      </c>
      <c r="G805" t="s">
        <v>89</v>
      </c>
      <c r="H805" t="s">
        <v>26</v>
      </c>
      <c r="I805" t="s">
        <v>27</v>
      </c>
      <c r="J805" t="s">
        <v>28</v>
      </c>
      <c r="K805" t="s">
        <v>37</v>
      </c>
      <c r="L805" t="s">
        <v>38</v>
      </c>
      <c r="M805">
        <v>7</v>
      </c>
      <c r="N805">
        <v>8.99</v>
      </c>
      <c r="O805">
        <v>62.93</v>
      </c>
      <c r="P805">
        <v>0.08</v>
      </c>
      <c r="Q805">
        <v>5.03</v>
      </c>
      <c r="R805">
        <v>57.9</v>
      </c>
      <c r="S805">
        <v>4.63</v>
      </c>
      <c r="T805">
        <v>62.53</v>
      </c>
      <c r="U805" t="s">
        <v>111</v>
      </c>
    </row>
    <row r="806" spans="1:21" x14ac:dyDescent="0.35">
      <c r="A806" t="s">
        <v>920</v>
      </c>
      <c r="B806" s="1">
        <v>45669</v>
      </c>
      <c r="C806">
        <v>2025</v>
      </c>
      <c r="D806" t="s">
        <v>97</v>
      </c>
      <c r="E806" t="s">
        <v>98</v>
      </c>
      <c r="F806" t="s">
        <v>35</v>
      </c>
      <c r="G806" t="s">
        <v>99</v>
      </c>
      <c r="H806" t="s">
        <v>94</v>
      </c>
      <c r="I806" t="s">
        <v>95</v>
      </c>
      <c r="J806" t="s">
        <v>56</v>
      </c>
      <c r="K806" t="s">
        <v>68</v>
      </c>
      <c r="L806" t="s">
        <v>73</v>
      </c>
      <c r="M806">
        <v>18</v>
      </c>
      <c r="N806">
        <v>349.99</v>
      </c>
      <c r="O806">
        <v>6299.82</v>
      </c>
      <c r="P806">
        <v>0.05</v>
      </c>
      <c r="Q806">
        <v>314.99</v>
      </c>
      <c r="R806">
        <v>5984.83</v>
      </c>
      <c r="S806">
        <v>478.79</v>
      </c>
      <c r="T806">
        <v>6463.62</v>
      </c>
      <c r="U806" t="s">
        <v>39</v>
      </c>
    </row>
    <row r="807" spans="1:21" x14ac:dyDescent="0.35">
      <c r="A807" t="s">
        <v>921</v>
      </c>
      <c r="B807" s="1">
        <v>45672</v>
      </c>
      <c r="C807">
        <v>2025</v>
      </c>
      <c r="D807" t="s">
        <v>97</v>
      </c>
      <c r="E807" t="s">
        <v>98</v>
      </c>
      <c r="F807" t="s">
        <v>35</v>
      </c>
      <c r="G807" t="s">
        <v>99</v>
      </c>
      <c r="H807" t="s">
        <v>66</v>
      </c>
      <c r="I807" t="s">
        <v>67</v>
      </c>
      <c r="J807" t="s">
        <v>56</v>
      </c>
      <c r="K807" t="s">
        <v>60</v>
      </c>
      <c r="L807" t="s">
        <v>38</v>
      </c>
      <c r="M807">
        <v>28</v>
      </c>
      <c r="N807">
        <v>229.99</v>
      </c>
      <c r="O807">
        <v>6439.72</v>
      </c>
      <c r="P807">
        <v>0.16</v>
      </c>
      <c r="Q807">
        <v>1030.3599999999999</v>
      </c>
      <c r="R807">
        <v>5409.36</v>
      </c>
      <c r="S807">
        <v>432.75</v>
      </c>
      <c r="T807">
        <v>0</v>
      </c>
      <c r="U807" t="s">
        <v>31</v>
      </c>
    </row>
    <row r="808" spans="1:21" x14ac:dyDescent="0.35">
      <c r="A808" t="s">
        <v>922</v>
      </c>
      <c r="B808" s="1">
        <v>45676</v>
      </c>
      <c r="C808">
        <v>2025</v>
      </c>
      <c r="D808" t="s">
        <v>87</v>
      </c>
      <c r="E808" t="s">
        <v>88</v>
      </c>
      <c r="F808" t="s">
        <v>24</v>
      </c>
      <c r="G808" t="s">
        <v>89</v>
      </c>
      <c r="H808" t="s">
        <v>54</v>
      </c>
      <c r="I808" t="s">
        <v>55</v>
      </c>
      <c r="J808" t="s">
        <v>56</v>
      </c>
      <c r="K808" t="s">
        <v>29</v>
      </c>
      <c r="L808" t="s">
        <v>30</v>
      </c>
      <c r="M808">
        <v>22</v>
      </c>
      <c r="N808">
        <v>39.99</v>
      </c>
      <c r="O808">
        <v>879.78</v>
      </c>
      <c r="P808">
        <v>0.08</v>
      </c>
      <c r="Q808">
        <v>70.38</v>
      </c>
      <c r="R808">
        <v>809.4</v>
      </c>
      <c r="S808">
        <v>64.75</v>
      </c>
      <c r="T808">
        <v>874.15</v>
      </c>
      <c r="U808" t="s">
        <v>39</v>
      </c>
    </row>
    <row r="809" spans="1:21" x14ac:dyDescent="0.35">
      <c r="A809" t="s">
        <v>923</v>
      </c>
      <c r="B809" s="1">
        <v>45678</v>
      </c>
      <c r="C809">
        <v>2025</v>
      </c>
      <c r="D809" t="s">
        <v>75</v>
      </c>
      <c r="E809" t="s">
        <v>76</v>
      </c>
      <c r="F809" t="s">
        <v>64</v>
      </c>
      <c r="G809" t="s">
        <v>77</v>
      </c>
      <c r="H809" t="s">
        <v>100</v>
      </c>
      <c r="I809" t="s">
        <v>101</v>
      </c>
      <c r="J809" t="s">
        <v>47</v>
      </c>
      <c r="K809" t="s">
        <v>29</v>
      </c>
      <c r="L809" t="s">
        <v>30</v>
      </c>
      <c r="M809">
        <v>13</v>
      </c>
      <c r="N809">
        <v>29.99</v>
      </c>
      <c r="O809">
        <v>389.87</v>
      </c>
      <c r="P809">
        <v>0.05</v>
      </c>
      <c r="Q809">
        <v>19.489999999999998</v>
      </c>
      <c r="R809">
        <v>370.38</v>
      </c>
      <c r="S809">
        <v>29.63</v>
      </c>
      <c r="T809">
        <v>400.01</v>
      </c>
      <c r="U809" t="s">
        <v>39</v>
      </c>
    </row>
    <row r="810" spans="1:21" x14ac:dyDescent="0.35">
      <c r="A810" t="s">
        <v>924</v>
      </c>
      <c r="B810" s="1">
        <v>45678</v>
      </c>
      <c r="C810">
        <v>2025</v>
      </c>
      <c r="D810" t="s">
        <v>186</v>
      </c>
      <c r="E810" t="s">
        <v>187</v>
      </c>
      <c r="F810" t="s">
        <v>43</v>
      </c>
      <c r="G810" t="s">
        <v>188</v>
      </c>
      <c r="H810" t="s">
        <v>45</v>
      </c>
      <c r="I810" t="s">
        <v>46</v>
      </c>
      <c r="J810" t="s">
        <v>47</v>
      </c>
      <c r="K810" t="s">
        <v>29</v>
      </c>
      <c r="L810" t="s">
        <v>73</v>
      </c>
      <c r="M810">
        <v>17</v>
      </c>
      <c r="N810">
        <v>89.99</v>
      </c>
      <c r="O810">
        <v>1529.83</v>
      </c>
      <c r="P810">
        <v>0.05</v>
      </c>
      <c r="Q810">
        <v>76.489999999999995</v>
      </c>
      <c r="R810">
        <v>1453.34</v>
      </c>
      <c r="S810">
        <v>116.27</v>
      </c>
      <c r="T810">
        <v>1569.61</v>
      </c>
      <c r="U810" t="s">
        <v>111</v>
      </c>
    </row>
    <row r="811" spans="1:21" x14ac:dyDescent="0.35">
      <c r="A811" t="s">
        <v>925</v>
      </c>
      <c r="B811" s="1">
        <v>45678</v>
      </c>
      <c r="C811">
        <v>2025</v>
      </c>
      <c r="D811" t="s">
        <v>122</v>
      </c>
      <c r="E811" t="s">
        <v>123</v>
      </c>
      <c r="F811" t="s">
        <v>64</v>
      </c>
      <c r="G811" t="s">
        <v>124</v>
      </c>
      <c r="H811" t="s">
        <v>78</v>
      </c>
      <c r="I811" t="s">
        <v>79</v>
      </c>
      <c r="J811" t="s">
        <v>28</v>
      </c>
      <c r="K811" t="s">
        <v>37</v>
      </c>
      <c r="L811" t="s">
        <v>73</v>
      </c>
      <c r="M811">
        <v>29</v>
      </c>
      <c r="N811">
        <v>5.99</v>
      </c>
      <c r="O811">
        <v>173.71</v>
      </c>
      <c r="P811">
        <v>0.08</v>
      </c>
      <c r="Q811">
        <v>13.9</v>
      </c>
      <c r="R811">
        <v>159.81</v>
      </c>
      <c r="S811">
        <v>12.78</v>
      </c>
      <c r="T811">
        <v>172.59</v>
      </c>
      <c r="U811" t="s">
        <v>39</v>
      </c>
    </row>
    <row r="812" spans="1:21" x14ac:dyDescent="0.35">
      <c r="A812" t="s">
        <v>926</v>
      </c>
      <c r="B812" s="1">
        <v>45679</v>
      </c>
      <c r="C812">
        <v>2025</v>
      </c>
      <c r="D812" t="s">
        <v>62</v>
      </c>
      <c r="E812" t="s">
        <v>63</v>
      </c>
      <c r="F812" t="s">
        <v>64</v>
      </c>
      <c r="G812" t="s">
        <v>65</v>
      </c>
      <c r="H812" t="s">
        <v>145</v>
      </c>
      <c r="I812" t="s">
        <v>146</v>
      </c>
      <c r="J812" t="s">
        <v>47</v>
      </c>
      <c r="K812" t="s">
        <v>37</v>
      </c>
      <c r="L812" t="s">
        <v>49</v>
      </c>
      <c r="M812">
        <v>21</v>
      </c>
      <c r="N812">
        <v>129.99</v>
      </c>
      <c r="O812">
        <v>2729.79</v>
      </c>
      <c r="P812">
        <v>0.08</v>
      </c>
      <c r="Q812">
        <v>218.38</v>
      </c>
      <c r="R812">
        <v>2511.41</v>
      </c>
      <c r="S812">
        <v>200.91</v>
      </c>
      <c r="T812">
        <v>2712.32</v>
      </c>
      <c r="U812" t="s">
        <v>39</v>
      </c>
    </row>
    <row r="813" spans="1:21" x14ac:dyDescent="0.35">
      <c r="A813" t="s">
        <v>927</v>
      </c>
      <c r="B813" s="1">
        <v>45681</v>
      </c>
      <c r="C813">
        <v>2025</v>
      </c>
      <c r="D813" t="s">
        <v>62</v>
      </c>
      <c r="E813" t="s">
        <v>63</v>
      </c>
      <c r="F813" t="s">
        <v>64</v>
      </c>
      <c r="G813" t="s">
        <v>65</v>
      </c>
      <c r="H813" t="s">
        <v>71</v>
      </c>
      <c r="I813" t="s">
        <v>72</v>
      </c>
      <c r="J813" t="s">
        <v>47</v>
      </c>
      <c r="K813" t="s">
        <v>48</v>
      </c>
      <c r="L813" t="s">
        <v>69</v>
      </c>
      <c r="M813">
        <v>19</v>
      </c>
      <c r="N813">
        <v>1199.99</v>
      </c>
      <c r="O813">
        <v>22799.81</v>
      </c>
      <c r="P813">
        <v>0.05</v>
      </c>
      <c r="Q813">
        <v>1139.99</v>
      </c>
      <c r="R813">
        <v>21659.82</v>
      </c>
      <c r="S813">
        <v>1732.79</v>
      </c>
      <c r="T813">
        <v>23392.61</v>
      </c>
      <c r="U813" t="s">
        <v>111</v>
      </c>
    </row>
    <row r="814" spans="1:21" x14ac:dyDescent="0.35">
      <c r="A814" t="s">
        <v>928</v>
      </c>
      <c r="B814" s="1">
        <v>45685</v>
      </c>
      <c r="C814">
        <v>2025</v>
      </c>
      <c r="D814" t="s">
        <v>41</v>
      </c>
      <c r="E814" t="s">
        <v>42</v>
      </c>
      <c r="F814" t="s">
        <v>43</v>
      </c>
      <c r="G814" t="s">
        <v>44</v>
      </c>
      <c r="H814" t="s">
        <v>71</v>
      </c>
      <c r="I814" t="s">
        <v>72</v>
      </c>
      <c r="J814" t="s">
        <v>47</v>
      </c>
      <c r="K814" t="s">
        <v>37</v>
      </c>
      <c r="L814" t="s">
        <v>69</v>
      </c>
      <c r="M814">
        <v>3</v>
      </c>
      <c r="N814">
        <v>1199.99</v>
      </c>
      <c r="O814">
        <v>3599.97</v>
      </c>
      <c r="P814">
        <v>0</v>
      </c>
      <c r="Q814">
        <v>0</v>
      </c>
      <c r="R814">
        <v>3599.97</v>
      </c>
      <c r="S814">
        <v>288</v>
      </c>
      <c r="T814">
        <v>3887.97</v>
      </c>
      <c r="U814" t="s">
        <v>39</v>
      </c>
    </row>
    <row r="815" spans="1:21" x14ac:dyDescent="0.35">
      <c r="A815" t="s">
        <v>929</v>
      </c>
      <c r="B815" s="1">
        <v>45690</v>
      </c>
      <c r="C815">
        <v>2025</v>
      </c>
      <c r="D815" t="s">
        <v>148</v>
      </c>
      <c r="E815" t="s">
        <v>149</v>
      </c>
      <c r="F815" t="s">
        <v>43</v>
      </c>
      <c r="G815" t="s">
        <v>150</v>
      </c>
      <c r="H815" t="s">
        <v>45</v>
      </c>
      <c r="I815" t="s">
        <v>46</v>
      </c>
      <c r="J815" t="s">
        <v>47</v>
      </c>
      <c r="K815" t="s">
        <v>37</v>
      </c>
      <c r="L815" t="s">
        <v>30</v>
      </c>
      <c r="M815">
        <v>11</v>
      </c>
      <c r="N815">
        <v>89.99</v>
      </c>
      <c r="O815">
        <v>989.89</v>
      </c>
      <c r="P815">
        <v>0.05</v>
      </c>
      <c r="Q815">
        <v>49.49</v>
      </c>
      <c r="R815">
        <v>940.4</v>
      </c>
      <c r="S815">
        <v>75.23</v>
      </c>
      <c r="T815">
        <v>1015.63</v>
      </c>
      <c r="U815" t="s">
        <v>39</v>
      </c>
    </row>
    <row r="816" spans="1:21" x14ac:dyDescent="0.35">
      <c r="A816" t="s">
        <v>930</v>
      </c>
      <c r="B816" s="1">
        <v>45692</v>
      </c>
      <c r="C816">
        <v>2025</v>
      </c>
      <c r="D816" t="s">
        <v>97</v>
      </c>
      <c r="E816" t="s">
        <v>98</v>
      </c>
      <c r="F816" t="s">
        <v>35</v>
      </c>
      <c r="G816" t="s">
        <v>99</v>
      </c>
      <c r="H816" t="s">
        <v>84</v>
      </c>
      <c r="I816" t="s">
        <v>85</v>
      </c>
      <c r="J816" t="s">
        <v>47</v>
      </c>
      <c r="K816" t="s">
        <v>68</v>
      </c>
      <c r="L816" t="s">
        <v>69</v>
      </c>
      <c r="M816">
        <v>22</v>
      </c>
      <c r="N816">
        <v>249.99</v>
      </c>
      <c r="O816">
        <v>5499.78</v>
      </c>
      <c r="P816">
        <v>0.08</v>
      </c>
      <c r="Q816">
        <v>439.98</v>
      </c>
      <c r="R816">
        <v>5059.8</v>
      </c>
      <c r="S816">
        <v>404.78</v>
      </c>
      <c r="T816">
        <v>0</v>
      </c>
      <c r="U816" t="s">
        <v>31</v>
      </c>
    </row>
    <row r="817" spans="1:21" x14ac:dyDescent="0.35">
      <c r="A817" t="s">
        <v>931</v>
      </c>
      <c r="B817" s="1">
        <v>45693</v>
      </c>
      <c r="C817">
        <v>2025</v>
      </c>
      <c r="D817" t="s">
        <v>81</v>
      </c>
      <c r="E817" t="s">
        <v>82</v>
      </c>
      <c r="F817" t="s">
        <v>35</v>
      </c>
      <c r="G817" t="s">
        <v>83</v>
      </c>
      <c r="H817" t="s">
        <v>208</v>
      </c>
      <c r="I817" t="s">
        <v>209</v>
      </c>
      <c r="J817" t="s">
        <v>47</v>
      </c>
      <c r="K817" t="s">
        <v>37</v>
      </c>
      <c r="L817" t="s">
        <v>38</v>
      </c>
      <c r="M817">
        <v>19</v>
      </c>
      <c r="N817">
        <v>49.99</v>
      </c>
      <c r="O817">
        <v>949.81</v>
      </c>
      <c r="P817">
        <v>0.13</v>
      </c>
      <c r="Q817">
        <v>123.48</v>
      </c>
      <c r="R817">
        <v>826.33</v>
      </c>
      <c r="S817">
        <v>66.11</v>
      </c>
      <c r="T817">
        <v>0</v>
      </c>
      <c r="U817" t="s">
        <v>31</v>
      </c>
    </row>
    <row r="818" spans="1:21" x14ac:dyDescent="0.35">
      <c r="A818" t="s">
        <v>932</v>
      </c>
      <c r="B818" s="1">
        <v>45693</v>
      </c>
      <c r="C818">
        <v>2025</v>
      </c>
      <c r="D818" t="s">
        <v>41</v>
      </c>
      <c r="E818" t="s">
        <v>42</v>
      </c>
      <c r="F818" t="s">
        <v>43</v>
      </c>
      <c r="G818" t="s">
        <v>44</v>
      </c>
      <c r="H818" t="s">
        <v>78</v>
      </c>
      <c r="I818" t="s">
        <v>79</v>
      </c>
      <c r="J818" t="s">
        <v>28</v>
      </c>
      <c r="K818" t="s">
        <v>37</v>
      </c>
      <c r="L818" t="s">
        <v>30</v>
      </c>
      <c r="M818">
        <v>6</v>
      </c>
      <c r="N818">
        <v>5.99</v>
      </c>
      <c r="O818">
        <v>35.94</v>
      </c>
      <c r="P818">
        <v>0</v>
      </c>
      <c r="Q818">
        <v>0</v>
      </c>
      <c r="R818">
        <v>35.94</v>
      </c>
      <c r="S818">
        <v>2.88</v>
      </c>
      <c r="T818">
        <v>0</v>
      </c>
      <c r="U818" t="s">
        <v>31</v>
      </c>
    </row>
    <row r="819" spans="1:21" x14ac:dyDescent="0.35">
      <c r="A819" t="s">
        <v>933</v>
      </c>
      <c r="B819" s="1">
        <v>45694</v>
      </c>
      <c r="C819">
        <v>2025</v>
      </c>
      <c r="D819" t="s">
        <v>62</v>
      </c>
      <c r="E819" t="s">
        <v>63</v>
      </c>
      <c r="F819" t="s">
        <v>64</v>
      </c>
      <c r="G819" t="s">
        <v>65</v>
      </c>
      <c r="H819" t="s">
        <v>145</v>
      </c>
      <c r="I819" t="s">
        <v>146</v>
      </c>
      <c r="J819" t="s">
        <v>47</v>
      </c>
      <c r="K819" t="s">
        <v>48</v>
      </c>
      <c r="L819" t="s">
        <v>30</v>
      </c>
      <c r="M819">
        <v>28</v>
      </c>
      <c r="N819">
        <v>129.99</v>
      </c>
      <c r="O819">
        <v>3639.72</v>
      </c>
      <c r="P819">
        <v>0.08</v>
      </c>
      <c r="Q819">
        <v>291.18</v>
      </c>
      <c r="R819">
        <v>3348.54</v>
      </c>
      <c r="S819">
        <v>267.88</v>
      </c>
      <c r="T819">
        <v>3616.42</v>
      </c>
      <c r="U819" t="s">
        <v>39</v>
      </c>
    </row>
    <row r="820" spans="1:21" x14ac:dyDescent="0.35">
      <c r="A820" t="s">
        <v>934</v>
      </c>
      <c r="B820" s="1">
        <v>45694</v>
      </c>
      <c r="C820">
        <v>2025</v>
      </c>
      <c r="D820" t="s">
        <v>148</v>
      </c>
      <c r="E820" t="s">
        <v>149</v>
      </c>
      <c r="F820" t="s">
        <v>43</v>
      </c>
      <c r="G820" t="s">
        <v>150</v>
      </c>
      <c r="H820" t="s">
        <v>71</v>
      </c>
      <c r="I820" t="s">
        <v>72</v>
      </c>
      <c r="J820" t="s">
        <v>47</v>
      </c>
      <c r="K820" t="s">
        <v>48</v>
      </c>
      <c r="L820" t="s">
        <v>49</v>
      </c>
      <c r="M820">
        <v>2</v>
      </c>
      <c r="N820">
        <v>1199.99</v>
      </c>
      <c r="O820">
        <v>2399.98</v>
      </c>
      <c r="P820">
        <v>0</v>
      </c>
      <c r="Q820">
        <v>0</v>
      </c>
      <c r="R820">
        <v>2399.98</v>
      </c>
      <c r="S820">
        <v>192</v>
      </c>
      <c r="T820">
        <v>0</v>
      </c>
      <c r="U820" t="s">
        <v>31</v>
      </c>
    </row>
    <row r="821" spans="1:21" x14ac:dyDescent="0.35">
      <c r="A821" t="s">
        <v>935</v>
      </c>
      <c r="B821" s="1">
        <v>45697</v>
      </c>
      <c r="C821">
        <v>2025</v>
      </c>
      <c r="D821" t="s">
        <v>122</v>
      </c>
      <c r="E821" t="s">
        <v>123</v>
      </c>
      <c r="F821" t="s">
        <v>64</v>
      </c>
      <c r="G821" t="s">
        <v>124</v>
      </c>
      <c r="H821" t="s">
        <v>208</v>
      </c>
      <c r="I821" t="s">
        <v>209</v>
      </c>
      <c r="J821" t="s">
        <v>47</v>
      </c>
      <c r="K821" t="s">
        <v>60</v>
      </c>
      <c r="L821" t="s">
        <v>49</v>
      </c>
      <c r="M821">
        <v>21</v>
      </c>
      <c r="N821">
        <v>49.99</v>
      </c>
      <c r="O821">
        <v>1049.79</v>
      </c>
      <c r="P821">
        <v>0.08</v>
      </c>
      <c r="Q821">
        <v>83.98</v>
      </c>
      <c r="R821">
        <v>965.81</v>
      </c>
      <c r="S821">
        <v>77.260000000000005</v>
      </c>
      <c r="T821">
        <v>0</v>
      </c>
      <c r="U821" t="s">
        <v>31</v>
      </c>
    </row>
    <row r="822" spans="1:21" x14ac:dyDescent="0.35">
      <c r="A822" t="s">
        <v>936</v>
      </c>
      <c r="B822" s="1">
        <v>45697</v>
      </c>
      <c r="C822">
        <v>2025</v>
      </c>
      <c r="D822" t="s">
        <v>87</v>
      </c>
      <c r="E822" t="s">
        <v>88</v>
      </c>
      <c r="F822" t="s">
        <v>24</v>
      </c>
      <c r="G822" t="s">
        <v>89</v>
      </c>
      <c r="H822" t="s">
        <v>71</v>
      </c>
      <c r="I822" t="s">
        <v>72</v>
      </c>
      <c r="J822" t="s">
        <v>47</v>
      </c>
      <c r="K822" t="s">
        <v>29</v>
      </c>
      <c r="L822" t="s">
        <v>38</v>
      </c>
      <c r="M822">
        <v>8</v>
      </c>
      <c r="N822">
        <v>1199.99</v>
      </c>
      <c r="O822">
        <v>9599.92</v>
      </c>
      <c r="P822">
        <v>0.08</v>
      </c>
      <c r="Q822">
        <v>767.99</v>
      </c>
      <c r="R822">
        <v>8831.93</v>
      </c>
      <c r="S822">
        <v>706.55</v>
      </c>
      <c r="T822">
        <v>9538.48</v>
      </c>
      <c r="U822" t="s">
        <v>39</v>
      </c>
    </row>
    <row r="823" spans="1:21" x14ac:dyDescent="0.35">
      <c r="A823" t="s">
        <v>937</v>
      </c>
      <c r="B823" s="1">
        <v>45698</v>
      </c>
      <c r="C823">
        <v>2025</v>
      </c>
      <c r="D823" t="s">
        <v>186</v>
      </c>
      <c r="E823" t="s">
        <v>187</v>
      </c>
      <c r="F823" t="s">
        <v>43</v>
      </c>
      <c r="G823" t="s">
        <v>188</v>
      </c>
      <c r="H823" t="s">
        <v>104</v>
      </c>
      <c r="I823" t="s">
        <v>105</v>
      </c>
      <c r="J823" t="s">
        <v>47</v>
      </c>
      <c r="K823" t="s">
        <v>37</v>
      </c>
      <c r="L823" t="s">
        <v>73</v>
      </c>
      <c r="M823">
        <v>4</v>
      </c>
      <c r="N823">
        <v>479.99</v>
      </c>
      <c r="O823">
        <v>1919.96</v>
      </c>
      <c r="P823">
        <v>0</v>
      </c>
      <c r="Q823">
        <v>0</v>
      </c>
      <c r="R823">
        <v>1919.96</v>
      </c>
      <c r="S823">
        <v>153.6</v>
      </c>
      <c r="T823">
        <v>2073.56</v>
      </c>
      <c r="U823" t="s">
        <v>39</v>
      </c>
    </row>
    <row r="824" spans="1:21" x14ac:dyDescent="0.35">
      <c r="A824" t="s">
        <v>938</v>
      </c>
      <c r="B824" s="1">
        <v>45698</v>
      </c>
      <c r="C824">
        <v>2025</v>
      </c>
      <c r="D824" t="s">
        <v>81</v>
      </c>
      <c r="E824" t="s">
        <v>82</v>
      </c>
      <c r="F824" t="s">
        <v>35</v>
      </c>
      <c r="G824" t="s">
        <v>83</v>
      </c>
      <c r="H824" t="s">
        <v>78</v>
      </c>
      <c r="I824" t="s">
        <v>79</v>
      </c>
      <c r="J824" t="s">
        <v>28</v>
      </c>
      <c r="K824" t="s">
        <v>60</v>
      </c>
      <c r="L824" t="s">
        <v>38</v>
      </c>
      <c r="M824">
        <v>9</v>
      </c>
      <c r="N824">
        <v>5.99</v>
      </c>
      <c r="O824">
        <v>53.91</v>
      </c>
      <c r="P824">
        <v>0.08</v>
      </c>
      <c r="Q824">
        <v>4.3099999999999996</v>
      </c>
      <c r="R824">
        <v>49.6</v>
      </c>
      <c r="S824">
        <v>3.97</v>
      </c>
      <c r="T824">
        <v>53.57</v>
      </c>
      <c r="U824" t="s">
        <v>39</v>
      </c>
    </row>
    <row r="825" spans="1:21" x14ac:dyDescent="0.35">
      <c r="A825" t="s">
        <v>939</v>
      </c>
      <c r="B825" s="1">
        <v>45703</v>
      </c>
      <c r="C825">
        <v>2025</v>
      </c>
      <c r="D825" t="s">
        <v>107</v>
      </c>
      <c r="E825" t="s">
        <v>108</v>
      </c>
      <c r="F825" t="s">
        <v>35</v>
      </c>
      <c r="G825" t="s">
        <v>109</v>
      </c>
      <c r="H825" t="s">
        <v>58</v>
      </c>
      <c r="I825" t="s">
        <v>59</v>
      </c>
      <c r="J825" t="s">
        <v>56</v>
      </c>
      <c r="K825" t="s">
        <v>37</v>
      </c>
      <c r="L825" t="s">
        <v>38</v>
      </c>
      <c r="M825">
        <v>8</v>
      </c>
      <c r="N825">
        <v>599.99</v>
      </c>
      <c r="O825">
        <v>4799.92</v>
      </c>
      <c r="P825">
        <v>0.08</v>
      </c>
      <c r="Q825">
        <v>383.99</v>
      </c>
      <c r="R825">
        <v>4415.93</v>
      </c>
      <c r="S825">
        <v>353.27</v>
      </c>
      <c r="T825">
        <v>0</v>
      </c>
      <c r="U825" t="s">
        <v>31</v>
      </c>
    </row>
    <row r="826" spans="1:21" x14ac:dyDescent="0.35">
      <c r="A826" t="s">
        <v>940</v>
      </c>
      <c r="B826" s="1">
        <v>45704</v>
      </c>
      <c r="C826">
        <v>2025</v>
      </c>
      <c r="D826" t="s">
        <v>22</v>
      </c>
      <c r="E826" t="s">
        <v>23</v>
      </c>
      <c r="F826" t="s">
        <v>24</v>
      </c>
      <c r="G826" t="s">
        <v>25</v>
      </c>
      <c r="H826" t="s">
        <v>26</v>
      </c>
      <c r="I826" t="s">
        <v>27</v>
      </c>
      <c r="J826" t="s">
        <v>28</v>
      </c>
      <c r="K826" t="s">
        <v>68</v>
      </c>
      <c r="L826" t="s">
        <v>73</v>
      </c>
      <c r="M826">
        <v>16</v>
      </c>
      <c r="N826">
        <v>8.99</v>
      </c>
      <c r="O826">
        <v>143.84</v>
      </c>
      <c r="P826">
        <v>0.05</v>
      </c>
      <c r="Q826">
        <v>7.19</v>
      </c>
      <c r="R826">
        <v>136.65</v>
      </c>
      <c r="S826">
        <v>10.93</v>
      </c>
      <c r="T826">
        <v>147.58000000000001</v>
      </c>
      <c r="U826" t="s">
        <v>39</v>
      </c>
    </row>
    <row r="827" spans="1:21" x14ac:dyDescent="0.35">
      <c r="A827" t="s">
        <v>941</v>
      </c>
      <c r="B827" s="1">
        <v>45707</v>
      </c>
      <c r="C827">
        <v>2025</v>
      </c>
      <c r="D827" t="s">
        <v>148</v>
      </c>
      <c r="E827" t="s">
        <v>149</v>
      </c>
      <c r="F827" t="s">
        <v>43</v>
      </c>
      <c r="G827" t="s">
        <v>150</v>
      </c>
      <c r="H827" t="s">
        <v>54</v>
      </c>
      <c r="I827" t="s">
        <v>55</v>
      </c>
      <c r="J827" t="s">
        <v>56</v>
      </c>
      <c r="K827" t="s">
        <v>48</v>
      </c>
      <c r="L827" t="s">
        <v>38</v>
      </c>
      <c r="M827">
        <v>20</v>
      </c>
      <c r="N827">
        <v>39.99</v>
      </c>
      <c r="O827">
        <v>799.8</v>
      </c>
      <c r="P827">
        <v>0.16</v>
      </c>
      <c r="Q827">
        <v>127.97</v>
      </c>
      <c r="R827">
        <v>671.83</v>
      </c>
      <c r="S827">
        <v>53.75</v>
      </c>
      <c r="T827">
        <v>725.58</v>
      </c>
      <c r="U827" t="s">
        <v>39</v>
      </c>
    </row>
    <row r="828" spans="1:21" x14ac:dyDescent="0.35">
      <c r="A828" t="s">
        <v>942</v>
      </c>
      <c r="B828" s="1">
        <v>45708</v>
      </c>
      <c r="C828">
        <v>2025</v>
      </c>
      <c r="D828" t="s">
        <v>51</v>
      </c>
      <c r="E828" t="s">
        <v>52</v>
      </c>
      <c r="F828" t="s">
        <v>24</v>
      </c>
      <c r="G828" t="s">
        <v>53</v>
      </c>
      <c r="H828" t="s">
        <v>58</v>
      </c>
      <c r="I828" t="s">
        <v>59</v>
      </c>
      <c r="J828" t="s">
        <v>56</v>
      </c>
      <c r="K828" t="s">
        <v>48</v>
      </c>
      <c r="L828" t="s">
        <v>30</v>
      </c>
      <c r="M828">
        <v>13</v>
      </c>
      <c r="N828">
        <v>599.99</v>
      </c>
      <c r="O828">
        <v>7799.87</v>
      </c>
      <c r="P828">
        <v>0.05</v>
      </c>
      <c r="Q828">
        <v>389.99</v>
      </c>
      <c r="R828">
        <v>7409.88</v>
      </c>
      <c r="S828">
        <v>592.79</v>
      </c>
      <c r="T828">
        <v>8002.67</v>
      </c>
      <c r="U828" t="s">
        <v>39</v>
      </c>
    </row>
    <row r="829" spans="1:21" x14ac:dyDescent="0.35">
      <c r="A829" t="s">
        <v>943</v>
      </c>
      <c r="B829" s="1">
        <v>45709</v>
      </c>
      <c r="C829">
        <v>2025</v>
      </c>
      <c r="D829" t="s">
        <v>186</v>
      </c>
      <c r="E829" t="s">
        <v>187</v>
      </c>
      <c r="F829" t="s">
        <v>43</v>
      </c>
      <c r="G829" t="s">
        <v>188</v>
      </c>
      <c r="H829" t="s">
        <v>208</v>
      </c>
      <c r="I829" t="s">
        <v>209</v>
      </c>
      <c r="J829" t="s">
        <v>47</v>
      </c>
      <c r="K829" t="s">
        <v>29</v>
      </c>
      <c r="L829" t="s">
        <v>30</v>
      </c>
      <c r="M829">
        <v>8</v>
      </c>
      <c r="N829">
        <v>49.99</v>
      </c>
      <c r="O829">
        <v>399.92</v>
      </c>
      <c r="P829">
        <v>0</v>
      </c>
      <c r="Q829">
        <v>0</v>
      </c>
      <c r="R829">
        <v>399.92</v>
      </c>
      <c r="S829">
        <v>31.99</v>
      </c>
      <c r="T829">
        <v>431.91</v>
      </c>
      <c r="U829" t="s">
        <v>111</v>
      </c>
    </row>
    <row r="830" spans="1:21" x14ac:dyDescent="0.35">
      <c r="A830" t="s">
        <v>944</v>
      </c>
      <c r="B830" s="1">
        <v>45709</v>
      </c>
      <c r="C830">
        <v>2025</v>
      </c>
      <c r="D830" t="s">
        <v>51</v>
      </c>
      <c r="E830" t="s">
        <v>52</v>
      </c>
      <c r="F830" t="s">
        <v>24</v>
      </c>
      <c r="G830" t="s">
        <v>53</v>
      </c>
      <c r="H830" t="s">
        <v>104</v>
      </c>
      <c r="I830" t="s">
        <v>105</v>
      </c>
      <c r="J830" t="s">
        <v>47</v>
      </c>
      <c r="K830" t="s">
        <v>68</v>
      </c>
      <c r="L830" t="s">
        <v>73</v>
      </c>
      <c r="M830">
        <v>4</v>
      </c>
      <c r="N830">
        <v>479.99</v>
      </c>
      <c r="O830">
        <v>1919.96</v>
      </c>
      <c r="P830">
        <v>0</v>
      </c>
      <c r="Q830">
        <v>0</v>
      </c>
      <c r="R830">
        <v>1919.96</v>
      </c>
      <c r="S830">
        <v>153.6</v>
      </c>
      <c r="T830">
        <v>0</v>
      </c>
      <c r="U830" t="s">
        <v>31</v>
      </c>
    </row>
    <row r="831" spans="1:21" x14ac:dyDescent="0.35">
      <c r="A831" t="s">
        <v>945</v>
      </c>
      <c r="B831" s="1">
        <v>45710</v>
      </c>
      <c r="C831">
        <v>2025</v>
      </c>
      <c r="D831" t="s">
        <v>81</v>
      </c>
      <c r="E831" t="s">
        <v>82</v>
      </c>
      <c r="F831" t="s">
        <v>35</v>
      </c>
      <c r="G831" t="s">
        <v>83</v>
      </c>
      <c r="H831" t="s">
        <v>58</v>
      </c>
      <c r="I831" t="s">
        <v>59</v>
      </c>
      <c r="J831" t="s">
        <v>56</v>
      </c>
      <c r="K831" t="s">
        <v>68</v>
      </c>
      <c r="L831" t="s">
        <v>73</v>
      </c>
      <c r="M831">
        <v>13</v>
      </c>
      <c r="N831">
        <v>599.99</v>
      </c>
      <c r="O831">
        <v>7799.87</v>
      </c>
      <c r="P831">
        <v>0.05</v>
      </c>
      <c r="Q831">
        <v>389.99</v>
      </c>
      <c r="R831">
        <v>7409.88</v>
      </c>
      <c r="S831">
        <v>592.79</v>
      </c>
      <c r="T831">
        <v>8002.67</v>
      </c>
      <c r="U831" t="s">
        <v>39</v>
      </c>
    </row>
    <row r="832" spans="1:21" x14ac:dyDescent="0.35">
      <c r="A832" t="s">
        <v>946</v>
      </c>
      <c r="B832" s="1">
        <v>45711</v>
      </c>
      <c r="C832">
        <v>2025</v>
      </c>
      <c r="D832" t="s">
        <v>33</v>
      </c>
      <c r="E832" t="s">
        <v>34</v>
      </c>
      <c r="F832" t="s">
        <v>35</v>
      </c>
      <c r="G832" t="s">
        <v>36</v>
      </c>
      <c r="H832" t="s">
        <v>84</v>
      </c>
      <c r="I832" t="s">
        <v>85</v>
      </c>
      <c r="J832" t="s">
        <v>47</v>
      </c>
      <c r="K832" t="s">
        <v>29</v>
      </c>
      <c r="L832" t="s">
        <v>73</v>
      </c>
      <c r="M832">
        <v>14</v>
      </c>
      <c r="N832">
        <v>249.99</v>
      </c>
      <c r="O832">
        <v>3499.86</v>
      </c>
      <c r="P832">
        <v>0.05</v>
      </c>
      <c r="Q832">
        <v>174.99</v>
      </c>
      <c r="R832">
        <v>3324.87</v>
      </c>
      <c r="S832">
        <v>265.99</v>
      </c>
      <c r="T832">
        <v>3590.86</v>
      </c>
      <c r="U832" t="s">
        <v>111</v>
      </c>
    </row>
    <row r="833" spans="1:21" x14ac:dyDescent="0.35">
      <c r="A833" t="s">
        <v>947</v>
      </c>
      <c r="B833" s="1">
        <v>45712</v>
      </c>
      <c r="C833">
        <v>2025</v>
      </c>
      <c r="D833" t="s">
        <v>148</v>
      </c>
      <c r="E833" t="s">
        <v>149</v>
      </c>
      <c r="F833" t="s">
        <v>43</v>
      </c>
      <c r="G833" t="s">
        <v>150</v>
      </c>
      <c r="H833" t="s">
        <v>71</v>
      </c>
      <c r="I833" t="s">
        <v>72</v>
      </c>
      <c r="J833" t="s">
        <v>47</v>
      </c>
      <c r="K833" t="s">
        <v>29</v>
      </c>
      <c r="L833" t="s">
        <v>73</v>
      </c>
      <c r="M833">
        <v>7</v>
      </c>
      <c r="N833">
        <v>1199.99</v>
      </c>
      <c r="O833">
        <v>8399.93</v>
      </c>
      <c r="P833">
        <v>0</v>
      </c>
      <c r="Q833">
        <v>0</v>
      </c>
      <c r="R833">
        <v>8399.93</v>
      </c>
      <c r="S833">
        <v>671.99</v>
      </c>
      <c r="T833">
        <v>9071.92</v>
      </c>
      <c r="U833" t="s">
        <v>39</v>
      </c>
    </row>
    <row r="834" spans="1:21" x14ac:dyDescent="0.35">
      <c r="A834" t="s">
        <v>948</v>
      </c>
      <c r="B834" s="1">
        <v>45720</v>
      </c>
      <c r="C834">
        <v>2025</v>
      </c>
      <c r="D834" t="s">
        <v>107</v>
      </c>
      <c r="E834" t="s">
        <v>108</v>
      </c>
      <c r="F834" t="s">
        <v>35</v>
      </c>
      <c r="G834" t="s">
        <v>109</v>
      </c>
      <c r="H834" t="s">
        <v>54</v>
      </c>
      <c r="I834" t="s">
        <v>55</v>
      </c>
      <c r="J834" t="s">
        <v>56</v>
      </c>
      <c r="K834" t="s">
        <v>37</v>
      </c>
      <c r="L834" t="s">
        <v>49</v>
      </c>
      <c r="M834">
        <v>14</v>
      </c>
      <c r="N834">
        <v>39.99</v>
      </c>
      <c r="O834">
        <v>559.86</v>
      </c>
      <c r="P834">
        <v>0.05</v>
      </c>
      <c r="Q834">
        <v>27.99</v>
      </c>
      <c r="R834">
        <v>531.87</v>
      </c>
      <c r="S834">
        <v>42.55</v>
      </c>
      <c r="T834">
        <v>574.41999999999996</v>
      </c>
      <c r="U834" t="s">
        <v>39</v>
      </c>
    </row>
    <row r="835" spans="1:21" x14ac:dyDescent="0.35">
      <c r="A835" t="s">
        <v>949</v>
      </c>
      <c r="B835" s="1">
        <v>45723</v>
      </c>
      <c r="C835">
        <v>2025</v>
      </c>
      <c r="D835" t="s">
        <v>62</v>
      </c>
      <c r="E835" t="s">
        <v>63</v>
      </c>
      <c r="F835" t="s">
        <v>64</v>
      </c>
      <c r="G835" t="s">
        <v>65</v>
      </c>
      <c r="H835" t="s">
        <v>208</v>
      </c>
      <c r="I835" t="s">
        <v>209</v>
      </c>
      <c r="J835" t="s">
        <v>47</v>
      </c>
      <c r="K835" t="s">
        <v>60</v>
      </c>
      <c r="L835" t="s">
        <v>69</v>
      </c>
      <c r="M835">
        <v>2</v>
      </c>
      <c r="N835">
        <v>49.99</v>
      </c>
      <c r="O835">
        <v>99.98</v>
      </c>
      <c r="P835">
        <v>0</v>
      </c>
      <c r="Q835">
        <v>0</v>
      </c>
      <c r="R835">
        <v>99.98</v>
      </c>
      <c r="S835">
        <v>8</v>
      </c>
      <c r="T835">
        <v>107.98</v>
      </c>
      <c r="U835" t="s">
        <v>39</v>
      </c>
    </row>
    <row r="836" spans="1:21" x14ac:dyDescent="0.35">
      <c r="A836" t="s">
        <v>950</v>
      </c>
      <c r="B836" s="1">
        <v>45724</v>
      </c>
      <c r="C836">
        <v>2025</v>
      </c>
      <c r="D836" t="s">
        <v>22</v>
      </c>
      <c r="E836" t="s">
        <v>23</v>
      </c>
      <c r="F836" t="s">
        <v>24</v>
      </c>
      <c r="G836" t="s">
        <v>25</v>
      </c>
      <c r="H836" t="s">
        <v>54</v>
      </c>
      <c r="I836" t="s">
        <v>55</v>
      </c>
      <c r="J836" t="s">
        <v>56</v>
      </c>
      <c r="K836" t="s">
        <v>68</v>
      </c>
      <c r="L836" t="s">
        <v>69</v>
      </c>
      <c r="M836">
        <v>22</v>
      </c>
      <c r="N836">
        <v>39.99</v>
      </c>
      <c r="O836">
        <v>879.78</v>
      </c>
      <c r="P836">
        <v>0.08</v>
      </c>
      <c r="Q836">
        <v>70.38</v>
      </c>
      <c r="R836">
        <v>809.4</v>
      </c>
      <c r="S836">
        <v>64.75</v>
      </c>
      <c r="T836">
        <v>874.15</v>
      </c>
      <c r="U836" t="s">
        <v>39</v>
      </c>
    </row>
    <row r="837" spans="1:21" x14ac:dyDescent="0.35">
      <c r="A837" t="s">
        <v>951</v>
      </c>
      <c r="B837" s="1">
        <v>45731</v>
      </c>
      <c r="C837">
        <v>2025</v>
      </c>
      <c r="D837" t="s">
        <v>81</v>
      </c>
      <c r="E837" t="s">
        <v>82</v>
      </c>
      <c r="F837" t="s">
        <v>35</v>
      </c>
      <c r="G837" t="s">
        <v>83</v>
      </c>
      <c r="H837" t="s">
        <v>208</v>
      </c>
      <c r="I837" t="s">
        <v>209</v>
      </c>
      <c r="J837" t="s">
        <v>47</v>
      </c>
      <c r="K837" t="s">
        <v>60</v>
      </c>
      <c r="L837" t="s">
        <v>30</v>
      </c>
      <c r="M837">
        <v>21</v>
      </c>
      <c r="N837">
        <v>49.99</v>
      </c>
      <c r="O837">
        <v>1049.79</v>
      </c>
      <c r="P837">
        <v>0.08</v>
      </c>
      <c r="Q837">
        <v>83.98</v>
      </c>
      <c r="R837">
        <v>965.81</v>
      </c>
      <c r="S837">
        <v>77.260000000000005</v>
      </c>
      <c r="T837">
        <v>1043.07</v>
      </c>
      <c r="U837" t="s">
        <v>39</v>
      </c>
    </row>
    <row r="838" spans="1:21" x14ac:dyDescent="0.35">
      <c r="A838" t="s">
        <v>952</v>
      </c>
      <c r="B838" s="1">
        <v>45731</v>
      </c>
      <c r="C838">
        <v>2025</v>
      </c>
      <c r="D838" t="s">
        <v>41</v>
      </c>
      <c r="E838" t="s">
        <v>42</v>
      </c>
      <c r="F838" t="s">
        <v>43</v>
      </c>
      <c r="G838" t="s">
        <v>44</v>
      </c>
      <c r="H838" t="s">
        <v>104</v>
      </c>
      <c r="I838" t="s">
        <v>105</v>
      </c>
      <c r="J838" t="s">
        <v>47</v>
      </c>
      <c r="K838" t="s">
        <v>29</v>
      </c>
      <c r="L838" t="s">
        <v>73</v>
      </c>
      <c r="M838">
        <v>20</v>
      </c>
      <c r="N838">
        <v>479.99</v>
      </c>
      <c r="O838">
        <v>9599.7999999999993</v>
      </c>
      <c r="P838">
        <v>0.08</v>
      </c>
      <c r="Q838">
        <v>767.98</v>
      </c>
      <c r="R838">
        <v>8831.82</v>
      </c>
      <c r="S838">
        <v>706.55</v>
      </c>
      <c r="T838">
        <v>9538.3700000000008</v>
      </c>
      <c r="U838" t="s">
        <v>39</v>
      </c>
    </row>
    <row r="839" spans="1:21" x14ac:dyDescent="0.35">
      <c r="A839" t="s">
        <v>953</v>
      </c>
      <c r="B839" s="1">
        <v>45732</v>
      </c>
      <c r="C839">
        <v>2025</v>
      </c>
      <c r="D839" t="s">
        <v>75</v>
      </c>
      <c r="E839" t="s">
        <v>76</v>
      </c>
      <c r="F839" t="s">
        <v>64</v>
      </c>
      <c r="G839" t="s">
        <v>77</v>
      </c>
      <c r="H839" t="s">
        <v>208</v>
      </c>
      <c r="I839" t="s">
        <v>209</v>
      </c>
      <c r="J839" t="s">
        <v>47</v>
      </c>
      <c r="K839" t="s">
        <v>48</v>
      </c>
      <c r="L839" t="s">
        <v>30</v>
      </c>
      <c r="M839">
        <v>28</v>
      </c>
      <c r="N839">
        <v>49.99</v>
      </c>
      <c r="O839">
        <v>1399.72</v>
      </c>
      <c r="P839">
        <v>0.08</v>
      </c>
      <c r="Q839">
        <v>111.98</v>
      </c>
      <c r="R839">
        <v>1287.74</v>
      </c>
      <c r="S839">
        <v>103.02</v>
      </c>
      <c r="T839">
        <v>1390.76</v>
      </c>
      <c r="U839" t="s">
        <v>111</v>
      </c>
    </row>
    <row r="840" spans="1:21" x14ac:dyDescent="0.35">
      <c r="A840" t="s">
        <v>954</v>
      </c>
      <c r="B840" s="1">
        <v>45732</v>
      </c>
      <c r="C840">
        <v>2025</v>
      </c>
      <c r="D840" t="s">
        <v>75</v>
      </c>
      <c r="E840" t="s">
        <v>76</v>
      </c>
      <c r="F840" t="s">
        <v>64</v>
      </c>
      <c r="G840" t="s">
        <v>77</v>
      </c>
      <c r="H840" t="s">
        <v>71</v>
      </c>
      <c r="I840" t="s">
        <v>72</v>
      </c>
      <c r="J840" t="s">
        <v>47</v>
      </c>
      <c r="K840" t="s">
        <v>60</v>
      </c>
      <c r="L840" t="s">
        <v>69</v>
      </c>
      <c r="M840">
        <v>27</v>
      </c>
      <c r="N840">
        <v>1199.99</v>
      </c>
      <c r="O840">
        <v>32399.73</v>
      </c>
      <c r="P840">
        <v>0.08</v>
      </c>
      <c r="Q840">
        <v>2591.98</v>
      </c>
      <c r="R840">
        <v>29807.75</v>
      </c>
      <c r="S840">
        <v>2384.62</v>
      </c>
      <c r="T840">
        <v>32192.37</v>
      </c>
      <c r="U840" t="s">
        <v>39</v>
      </c>
    </row>
    <row r="841" spans="1:21" x14ac:dyDescent="0.35">
      <c r="A841" t="s">
        <v>955</v>
      </c>
      <c r="B841" s="1">
        <v>45732</v>
      </c>
      <c r="C841">
        <v>2025</v>
      </c>
      <c r="D841" t="s">
        <v>22</v>
      </c>
      <c r="E841" t="s">
        <v>23</v>
      </c>
      <c r="F841" t="s">
        <v>24</v>
      </c>
      <c r="G841" t="s">
        <v>25</v>
      </c>
      <c r="H841" t="s">
        <v>78</v>
      </c>
      <c r="I841" t="s">
        <v>79</v>
      </c>
      <c r="J841" t="s">
        <v>28</v>
      </c>
      <c r="K841" t="s">
        <v>68</v>
      </c>
      <c r="L841" t="s">
        <v>49</v>
      </c>
      <c r="M841">
        <v>27</v>
      </c>
      <c r="N841">
        <v>5.99</v>
      </c>
      <c r="O841">
        <v>161.72999999999999</v>
      </c>
      <c r="P841">
        <v>0.08</v>
      </c>
      <c r="Q841">
        <v>12.94</v>
      </c>
      <c r="R841">
        <v>148.79</v>
      </c>
      <c r="S841">
        <v>11.9</v>
      </c>
      <c r="T841">
        <v>160.69</v>
      </c>
      <c r="U841" t="s">
        <v>39</v>
      </c>
    </row>
    <row r="842" spans="1:21" x14ac:dyDescent="0.35">
      <c r="A842" t="s">
        <v>956</v>
      </c>
      <c r="B842" s="1">
        <v>45736</v>
      </c>
      <c r="C842">
        <v>2025</v>
      </c>
      <c r="D842" t="s">
        <v>87</v>
      </c>
      <c r="E842" t="s">
        <v>88</v>
      </c>
      <c r="F842" t="s">
        <v>24</v>
      </c>
      <c r="G842" t="s">
        <v>89</v>
      </c>
      <c r="H842" t="s">
        <v>94</v>
      </c>
      <c r="I842" t="s">
        <v>95</v>
      </c>
      <c r="J842" t="s">
        <v>56</v>
      </c>
      <c r="K842" t="s">
        <v>60</v>
      </c>
      <c r="L842" t="s">
        <v>69</v>
      </c>
      <c r="M842">
        <v>22</v>
      </c>
      <c r="N842">
        <v>349.99</v>
      </c>
      <c r="O842">
        <v>7699.78</v>
      </c>
      <c r="P842">
        <v>0.08</v>
      </c>
      <c r="Q842">
        <v>615.98</v>
      </c>
      <c r="R842">
        <v>7083.8</v>
      </c>
      <c r="S842">
        <v>566.70000000000005</v>
      </c>
      <c r="T842">
        <v>7650.5</v>
      </c>
      <c r="U842" t="s">
        <v>111</v>
      </c>
    </row>
    <row r="843" spans="1:21" x14ac:dyDescent="0.35">
      <c r="A843" t="s">
        <v>957</v>
      </c>
      <c r="B843" s="1">
        <v>45736</v>
      </c>
      <c r="C843">
        <v>2025</v>
      </c>
      <c r="D843" t="s">
        <v>97</v>
      </c>
      <c r="E843" t="s">
        <v>98</v>
      </c>
      <c r="F843" t="s">
        <v>35</v>
      </c>
      <c r="G843" t="s">
        <v>99</v>
      </c>
      <c r="H843" t="s">
        <v>128</v>
      </c>
      <c r="I843" t="s">
        <v>129</v>
      </c>
      <c r="J843" t="s">
        <v>47</v>
      </c>
      <c r="K843" t="s">
        <v>48</v>
      </c>
      <c r="L843" t="s">
        <v>49</v>
      </c>
      <c r="M843">
        <v>19</v>
      </c>
      <c r="N843">
        <v>399.99</v>
      </c>
      <c r="O843">
        <v>7599.81</v>
      </c>
      <c r="P843">
        <v>0.05</v>
      </c>
      <c r="Q843">
        <v>379.99</v>
      </c>
      <c r="R843">
        <v>7219.82</v>
      </c>
      <c r="S843">
        <v>577.59</v>
      </c>
      <c r="T843">
        <v>7797.41</v>
      </c>
      <c r="U843" t="s">
        <v>111</v>
      </c>
    </row>
    <row r="844" spans="1:21" x14ac:dyDescent="0.35">
      <c r="A844" t="s">
        <v>958</v>
      </c>
      <c r="B844" s="1">
        <v>45737</v>
      </c>
      <c r="C844">
        <v>2025</v>
      </c>
      <c r="D844" t="s">
        <v>51</v>
      </c>
      <c r="E844" t="s">
        <v>52</v>
      </c>
      <c r="F844" t="s">
        <v>24</v>
      </c>
      <c r="G844" t="s">
        <v>53</v>
      </c>
      <c r="H844" t="s">
        <v>104</v>
      </c>
      <c r="I844" t="s">
        <v>105</v>
      </c>
      <c r="J844" t="s">
        <v>47</v>
      </c>
      <c r="K844" t="s">
        <v>68</v>
      </c>
      <c r="L844" t="s">
        <v>49</v>
      </c>
      <c r="M844">
        <v>23</v>
      </c>
      <c r="N844">
        <v>479.99</v>
      </c>
      <c r="O844">
        <v>11039.77</v>
      </c>
      <c r="P844">
        <v>0.08</v>
      </c>
      <c r="Q844">
        <v>883.18</v>
      </c>
      <c r="R844">
        <v>10156.59</v>
      </c>
      <c r="S844">
        <v>812.53</v>
      </c>
      <c r="T844">
        <v>10969.12</v>
      </c>
      <c r="U844" t="s">
        <v>39</v>
      </c>
    </row>
    <row r="845" spans="1:21" x14ac:dyDescent="0.35">
      <c r="A845" t="s">
        <v>959</v>
      </c>
      <c r="B845" s="1">
        <v>45737</v>
      </c>
      <c r="C845">
        <v>2025</v>
      </c>
      <c r="D845" t="s">
        <v>81</v>
      </c>
      <c r="E845" t="s">
        <v>82</v>
      </c>
      <c r="F845" t="s">
        <v>35</v>
      </c>
      <c r="G845" t="s">
        <v>83</v>
      </c>
      <c r="H845" t="s">
        <v>94</v>
      </c>
      <c r="I845" t="s">
        <v>95</v>
      </c>
      <c r="J845" t="s">
        <v>56</v>
      </c>
      <c r="K845" t="s">
        <v>37</v>
      </c>
      <c r="L845" t="s">
        <v>38</v>
      </c>
      <c r="M845">
        <v>4</v>
      </c>
      <c r="N845">
        <v>349.99</v>
      </c>
      <c r="O845">
        <v>1399.96</v>
      </c>
      <c r="P845">
        <v>0.08</v>
      </c>
      <c r="Q845">
        <v>112</v>
      </c>
      <c r="R845">
        <v>1287.96</v>
      </c>
      <c r="S845">
        <v>103.04</v>
      </c>
      <c r="T845">
        <v>1391</v>
      </c>
      <c r="U845" t="s">
        <v>39</v>
      </c>
    </row>
    <row r="846" spans="1:21" x14ac:dyDescent="0.35">
      <c r="A846" t="s">
        <v>960</v>
      </c>
      <c r="B846" s="1">
        <v>45737</v>
      </c>
      <c r="C846">
        <v>2025</v>
      </c>
      <c r="D846" t="s">
        <v>22</v>
      </c>
      <c r="E846" t="s">
        <v>23</v>
      </c>
      <c r="F846" t="s">
        <v>24</v>
      </c>
      <c r="G846" t="s">
        <v>25</v>
      </c>
      <c r="H846" t="s">
        <v>54</v>
      </c>
      <c r="I846" t="s">
        <v>55</v>
      </c>
      <c r="J846" t="s">
        <v>56</v>
      </c>
      <c r="K846" t="s">
        <v>68</v>
      </c>
      <c r="L846" t="s">
        <v>69</v>
      </c>
      <c r="M846">
        <v>20</v>
      </c>
      <c r="N846">
        <v>39.99</v>
      </c>
      <c r="O846">
        <v>799.8</v>
      </c>
      <c r="P846">
        <v>0.08</v>
      </c>
      <c r="Q846">
        <v>63.98</v>
      </c>
      <c r="R846">
        <v>735.82</v>
      </c>
      <c r="S846">
        <v>58.87</v>
      </c>
      <c r="T846">
        <v>794.69</v>
      </c>
      <c r="U846" t="s">
        <v>39</v>
      </c>
    </row>
    <row r="847" spans="1:21" x14ac:dyDescent="0.35">
      <c r="A847" t="s">
        <v>961</v>
      </c>
      <c r="B847" s="1">
        <v>45737</v>
      </c>
      <c r="C847">
        <v>2025</v>
      </c>
      <c r="D847" t="s">
        <v>91</v>
      </c>
      <c r="E847" t="s">
        <v>92</v>
      </c>
      <c r="F847" t="s">
        <v>24</v>
      </c>
      <c r="G847" t="s">
        <v>93</v>
      </c>
      <c r="H847" t="s">
        <v>71</v>
      </c>
      <c r="I847" t="s">
        <v>72</v>
      </c>
      <c r="J847" t="s">
        <v>47</v>
      </c>
      <c r="K847" t="s">
        <v>48</v>
      </c>
      <c r="L847" t="s">
        <v>38</v>
      </c>
      <c r="M847">
        <v>20</v>
      </c>
      <c r="N847">
        <v>1199.99</v>
      </c>
      <c r="O847">
        <v>23999.8</v>
      </c>
      <c r="P847">
        <v>0.16</v>
      </c>
      <c r="Q847">
        <v>3839.97</v>
      </c>
      <c r="R847">
        <v>20159.830000000002</v>
      </c>
      <c r="S847">
        <v>1612.79</v>
      </c>
      <c r="T847">
        <v>21772.62</v>
      </c>
      <c r="U847" t="s">
        <v>111</v>
      </c>
    </row>
    <row r="848" spans="1:21" x14ac:dyDescent="0.35">
      <c r="A848" t="s">
        <v>962</v>
      </c>
      <c r="B848" s="1">
        <v>45738</v>
      </c>
      <c r="C848">
        <v>2025</v>
      </c>
      <c r="D848" t="s">
        <v>62</v>
      </c>
      <c r="E848" t="s">
        <v>63</v>
      </c>
      <c r="F848" t="s">
        <v>64</v>
      </c>
      <c r="G848" t="s">
        <v>65</v>
      </c>
      <c r="H848" t="s">
        <v>54</v>
      </c>
      <c r="I848" t="s">
        <v>55</v>
      </c>
      <c r="J848" t="s">
        <v>56</v>
      </c>
      <c r="K848" t="s">
        <v>37</v>
      </c>
      <c r="L848" t="s">
        <v>73</v>
      </c>
      <c r="M848">
        <v>6</v>
      </c>
      <c r="N848">
        <v>39.99</v>
      </c>
      <c r="O848">
        <v>239.94</v>
      </c>
      <c r="P848">
        <v>0</v>
      </c>
      <c r="Q848">
        <v>0</v>
      </c>
      <c r="R848">
        <v>239.94</v>
      </c>
      <c r="S848">
        <v>19.2</v>
      </c>
      <c r="T848">
        <v>259.14</v>
      </c>
      <c r="U848" t="s">
        <v>39</v>
      </c>
    </row>
    <row r="849" spans="1:21" x14ac:dyDescent="0.35">
      <c r="A849" t="s">
        <v>963</v>
      </c>
      <c r="B849" s="1">
        <v>45741</v>
      </c>
      <c r="C849">
        <v>2025</v>
      </c>
      <c r="D849" t="s">
        <v>122</v>
      </c>
      <c r="E849" t="s">
        <v>123</v>
      </c>
      <c r="F849" t="s">
        <v>64</v>
      </c>
      <c r="G849" t="s">
        <v>124</v>
      </c>
      <c r="H849" t="s">
        <v>94</v>
      </c>
      <c r="I849" t="s">
        <v>95</v>
      </c>
      <c r="J849" t="s">
        <v>56</v>
      </c>
      <c r="K849" t="s">
        <v>48</v>
      </c>
      <c r="L849" t="s">
        <v>38</v>
      </c>
      <c r="M849">
        <v>8</v>
      </c>
      <c r="N849">
        <v>349.99</v>
      </c>
      <c r="O849">
        <v>2799.92</v>
      </c>
      <c r="P849">
        <v>0.08</v>
      </c>
      <c r="Q849">
        <v>223.99</v>
      </c>
      <c r="R849">
        <v>2575.9299999999998</v>
      </c>
      <c r="S849">
        <v>206.07</v>
      </c>
      <c r="T849">
        <v>2782</v>
      </c>
      <c r="U849" t="s">
        <v>39</v>
      </c>
    </row>
    <row r="850" spans="1:21" x14ac:dyDescent="0.35">
      <c r="A850" t="s">
        <v>964</v>
      </c>
      <c r="B850" s="1">
        <v>45743</v>
      </c>
      <c r="C850">
        <v>2025</v>
      </c>
      <c r="D850" t="s">
        <v>33</v>
      </c>
      <c r="E850" t="s">
        <v>34</v>
      </c>
      <c r="F850" t="s">
        <v>35</v>
      </c>
      <c r="G850" t="s">
        <v>36</v>
      </c>
      <c r="H850" t="s">
        <v>94</v>
      </c>
      <c r="I850" t="s">
        <v>95</v>
      </c>
      <c r="J850" t="s">
        <v>56</v>
      </c>
      <c r="K850" t="s">
        <v>29</v>
      </c>
      <c r="L850" t="s">
        <v>38</v>
      </c>
      <c r="M850">
        <v>1</v>
      </c>
      <c r="N850">
        <v>349.99</v>
      </c>
      <c r="O850">
        <v>349.99</v>
      </c>
      <c r="P850">
        <v>0.08</v>
      </c>
      <c r="Q850">
        <v>28</v>
      </c>
      <c r="R850">
        <v>321.99</v>
      </c>
      <c r="S850">
        <v>25.76</v>
      </c>
      <c r="T850">
        <v>347.75</v>
      </c>
      <c r="U850" t="s">
        <v>39</v>
      </c>
    </row>
    <row r="851" spans="1:21" x14ac:dyDescent="0.35">
      <c r="A851" t="s">
        <v>965</v>
      </c>
      <c r="B851" s="1">
        <v>45745</v>
      </c>
      <c r="C851">
        <v>2025</v>
      </c>
      <c r="D851" t="s">
        <v>62</v>
      </c>
      <c r="E851" t="s">
        <v>63</v>
      </c>
      <c r="F851" t="s">
        <v>64</v>
      </c>
      <c r="G851" t="s">
        <v>65</v>
      </c>
      <c r="H851" t="s">
        <v>128</v>
      </c>
      <c r="I851" t="s">
        <v>129</v>
      </c>
      <c r="J851" t="s">
        <v>47</v>
      </c>
      <c r="K851" t="s">
        <v>29</v>
      </c>
      <c r="L851" t="s">
        <v>73</v>
      </c>
      <c r="M851">
        <v>27</v>
      </c>
      <c r="N851">
        <v>399.99</v>
      </c>
      <c r="O851">
        <v>10799.73</v>
      </c>
      <c r="P851">
        <v>0.08</v>
      </c>
      <c r="Q851">
        <v>863.98</v>
      </c>
      <c r="R851">
        <v>9935.75</v>
      </c>
      <c r="S851">
        <v>794.86</v>
      </c>
      <c r="T851">
        <v>0</v>
      </c>
      <c r="U851" t="s">
        <v>31</v>
      </c>
    </row>
    <row r="852" spans="1:21" x14ac:dyDescent="0.35">
      <c r="A852" t="s">
        <v>966</v>
      </c>
      <c r="B852" s="1">
        <v>45747</v>
      </c>
      <c r="C852">
        <v>2025</v>
      </c>
      <c r="D852" t="s">
        <v>41</v>
      </c>
      <c r="E852" t="s">
        <v>42</v>
      </c>
      <c r="F852" t="s">
        <v>43</v>
      </c>
      <c r="G852" t="s">
        <v>44</v>
      </c>
      <c r="H852" t="s">
        <v>94</v>
      </c>
      <c r="I852" t="s">
        <v>95</v>
      </c>
      <c r="J852" t="s">
        <v>56</v>
      </c>
      <c r="K852" t="s">
        <v>60</v>
      </c>
      <c r="L852" t="s">
        <v>30</v>
      </c>
      <c r="M852">
        <v>9</v>
      </c>
      <c r="N852">
        <v>349.99</v>
      </c>
      <c r="O852">
        <v>3149.91</v>
      </c>
      <c r="P852">
        <v>0</v>
      </c>
      <c r="Q852">
        <v>0</v>
      </c>
      <c r="R852">
        <v>3149.91</v>
      </c>
      <c r="S852">
        <v>251.99</v>
      </c>
      <c r="T852">
        <v>3401.9</v>
      </c>
      <c r="U852" t="s">
        <v>39</v>
      </c>
    </row>
    <row r="853" spans="1:21" x14ac:dyDescent="0.35">
      <c r="A853" t="s">
        <v>967</v>
      </c>
      <c r="B853" s="1">
        <v>45749</v>
      </c>
      <c r="C853">
        <v>2025</v>
      </c>
      <c r="D853" t="s">
        <v>142</v>
      </c>
      <c r="E853" t="s">
        <v>143</v>
      </c>
      <c r="F853" t="s">
        <v>43</v>
      </c>
      <c r="G853" t="s">
        <v>144</v>
      </c>
      <c r="H853" t="s">
        <v>66</v>
      </c>
      <c r="I853" t="s">
        <v>67</v>
      </c>
      <c r="J853" t="s">
        <v>56</v>
      </c>
      <c r="K853" t="s">
        <v>60</v>
      </c>
      <c r="L853" t="s">
        <v>30</v>
      </c>
      <c r="M853">
        <v>16</v>
      </c>
      <c r="N853">
        <v>229.99</v>
      </c>
      <c r="O853">
        <v>3679.84</v>
      </c>
      <c r="P853">
        <v>0.05</v>
      </c>
      <c r="Q853">
        <v>183.99</v>
      </c>
      <c r="R853">
        <v>3495.85</v>
      </c>
      <c r="S853">
        <v>279.67</v>
      </c>
      <c r="T853">
        <v>0</v>
      </c>
      <c r="U853" t="s">
        <v>31</v>
      </c>
    </row>
    <row r="854" spans="1:21" x14ac:dyDescent="0.35">
      <c r="A854" t="s">
        <v>968</v>
      </c>
      <c r="B854" s="1">
        <v>45749</v>
      </c>
      <c r="C854">
        <v>2025</v>
      </c>
      <c r="D854" t="s">
        <v>81</v>
      </c>
      <c r="E854" t="s">
        <v>82</v>
      </c>
      <c r="F854" t="s">
        <v>35</v>
      </c>
      <c r="G854" t="s">
        <v>83</v>
      </c>
      <c r="H854" t="s">
        <v>84</v>
      </c>
      <c r="I854" t="s">
        <v>85</v>
      </c>
      <c r="J854" t="s">
        <v>47</v>
      </c>
      <c r="K854" t="s">
        <v>37</v>
      </c>
      <c r="L854" t="s">
        <v>69</v>
      </c>
      <c r="M854">
        <v>30</v>
      </c>
      <c r="N854">
        <v>249.99</v>
      </c>
      <c r="O854">
        <v>7499.7</v>
      </c>
      <c r="P854">
        <v>0.08</v>
      </c>
      <c r="Q854">
        <v>599.98</v>
      </c>
      <c r="R854">
        <v>6899.72</v>
      </c>
      <c r="S854">
        <v>551.98</v>
      </c>
      <c r="T854">
        <v>0</v>
      </c>
      <c r="U854" t="s">
        <v>31</v>
      </c>
    </row>
    <row r="855" spans="1:21" x14ac:dyDescent="0.35">
      <c r="A855" t="s">
        <v>969</v>
      </c>
      <c r="B855" s="1">
        <v>45750</v>
      </c>
      <c r="C855">
        <v>2025</v>
      </c>
      <c r="D855" t="s">
        <v>186</v>
      </c>
      <c r="E855" t="s">
        <v>187</v>
      </c>
      <c r="F855" t="s">
        <v>43</v>
      </c>
      <c r="G855" t="s">
        <v>188</v>
      </c>
      <c r="H855" t="s">
        <v>125</v>
      </c>
      <c r="I855" t="s">
        <v>126</v>
      </c>
      <c r="J855" t="s">
        <v>28</v>
      </c>
      <c r="K855" t="s">
        <v>29</v>
      </c>
      <c r="L855" t="s">
        <v>69</v>
      </c>
      <c r="M855">
        <v>9</v>
      </c>
      <c r="N855">
        <v>79.989999999999995</v>
      </c>
      <c r="O855">
        <v>719.91</v>
      </c>
      <c r="P855">
        <v>0</v>
      </c>
      <c r="Q855">
        <v>0</v>
      </c>
      <c r="R855">
        <v>719.91</v>
      </c>
      <c r="S855">
        <v>57.59</v>
      </c>
      <c r="T855">
        <v>777.5</v>
      </c>
      <c r="U855" t="s">
        <v>39</v>
      </c>
    </row>
    <row r="856" spans="1:21" x14ac:dyDescent="0.35">
      <c r="A856" t="s">
        <v>970</v>
      </c>
      <c r="B856" s="1">
        <v>45750</v>
      </c>
      <c r="C856">
        <v>2025</v>
      </c>
      <c r="D856" t="s">
        <v>51</v>
      </c>
      <c r="E856" t="s">
        <v>52</v>
      </c>
      <c r="F856" t="s">
        <v>24</v>
      </c>
      <c r="G856" t="s">
        <v>53</v>
      </c>
      <c r="H856" t="s">
        <v>71</v>
      </c>
      <c r="I856" t="s">
        <v>72</v>
      </c>
      <c r="J856" t="s">
        <v>47</v>
      </c>
      <c r="K856" t="s">
        <v>60</v>
      </c>
      <c r="L856" t="s">
        <v>69</v>
      </c>
      <c r="M856">
        <v>16</v>
      </c>
      <c r="N856">
        <v>1199.99</v>
      </c>
      <c r="O856">
        <v>19199.84</v>
      </c>
      <c r="P856">
        <v>0.05</v>
      </c>
      <c r="Q856">
        <v>959.99</v>
      </c>
      <c r="R856">
        <v>18239.849999999999</v>
      </c>
      <c r="S856">
        <v>1459.19</v>
      </c>
      <c r="T856">
        <v>0</v>
      </c>
      <c r="U856" t="s">
        <v>31</v>
      </c>
    </row>
    <row r="857" spans="1:21" x14ac:dyDescent="0.35">
      <c r="A857" t="s">
        <v>971</v>
      </c>
      <c r="B857" s="1">
        <v>45751</v>
      </c>
      <c r="C857">
        <v>2025</v>
      </c>
      <c r="D857" t="s">
        <v>97</v>
      </c>
      <c r="E857" t="s">
        <v>98</v>
      </c>
      <c r="F857" t="s">
        <v>35</v>
      </c>
      <c r="G857" t="s">
        <v>99</v>
      </c>
      <c r="H857" t="s">
        <v>128</v>
      </c>
      <c r="I857" t="s">
        <v>129</v>
      </c>
      <c r="J857" t="s">
        <v>47</v>
      </c>
      <c r="K857" t="s">
        <v>37</v>
      </c>
      <c r="L857" t="s">
        <v>73</v>
      </c>
      <c r="M857">
        <v>9</v>
      </c>
      <c r="N857">
        <v>399.99</v>
      </c>
      <c r="O857">
        <v>3599.91</v>
      </c>
      <c r="P857">
        <v>0</v>
      </c>
      <c r="Q857">
        <v>0</v>
      </c>
      <c r="R857">
        <v>3599.91</v>
      </c>
      <c r="S857">
        <v>287.99</v>
      </c>
      <c r="T857">
        <v>0</v>
      </c>
      <c r="U857" t="s">
        <v>31</v>
      </c>
    </row>
    <row r="858" spans="1:21" x14ac:dyDescent="0.35">
      <c r="A858" t="s">
        <v>972</v>
      </c>
      <c r="B858" s="1">
        <v>45754</v>
      </c>
      <c r="C858">
        <v>2025</v>
      </c>
      <c r="D858" t="s">
        <v>51</v>
      </c>
      <c r="E858" t="s">
        <v>52</v>
      </c>
      <c r="F858" t="s">
        <v>24</v>
      </c>
      <c r="G858" t="s">
        <v>53</v>
      </c>
      <c r="H858" t="s">
        <v>84</v>
      </c>
      <c r="I858" t="s">
        <v>85</v>
      </c>
      <c r="J858" t="s">
        <v>47</v>
      </c>
      <c r="K858" t="s">
        <v>37</v>
      </c>
      <c r="L858" t="s">
        <v>30</v>
      </c>
      <c r="M858">
        <v>14</v>
      </c>
      <c r="N858">
        <v>249.99</v>
      </c>
      <c r="O858">
        <v>3499.86</v>
      </c>
      <c r="P858">
        <v>0.05</v>
      </c>
      <c r="Q858">
        <v>174.99</v>
      </c>
      <c r="R858">
        <v>3324.87</v>
      </c>
      <c r="S858">
        <v>265.99</v>
      </c>
      <c r="T858">
        <v>3590.86</v>
      </c>
      <c r="U858" t="s">
        <v>39</v>
      </c>
    </row>
    <row r="859" spans="1:21" x14ac:dyDescent="0.35">
      <c r="A859" t="s">
        <v>973</v>
      </c>
      <c r="B859" s="1">
        <v>45758</v>
      </c>
      <c r="C859">
        <v>2025</v>
      </c>
      <c r="D859" t="s">
        <v>97</v>
      </c>
      <c r="E859" t="s">
        <v>98</v>
      </c>
      <c r="F859" t="s">
        <v>35</v>
      </c>
      <c r="G859" t="s">
        <v>99</v>
      </c>
      <c r="H859" t="s">
        <v>84</v>
      </c>
      <c r="I859" t="s">
        <v>85</v>
      </c>
      <c r="J859" t="s">
        <v>47</v>
      </c>
      <c r="K859" t="s">
        <v>48</v>
      </c>
      <c r="L859" t="s">
        <v>30</v>
      </c>
      <c r="M859">
        <v>20</v>
      </c>
      <c r="N859">
        <v>249.99</v>
      </c>
      <c r="O859">
        <v>4999.8</v>
      </c>
      <c r="P859">
        <v>0.08</v>
      </c>
      <c r="Q859">
        <v>399.98</v>
      </c>
      <c r="R859">
        <v>4599.82</v>
      </c>
      <c r="S859">
        <v>367.99</v>
      </c>
      <c r="T859">
        <v>4967.8100000000004</v>
      </c>
      <c r="U859" t="s">
        <v>111</v>
      </c>
    </row>
    <row r="860" spans="1:21" x14ac:dyDescent="0.35">
      <c r="A860" t="s">
        <v>974</v>
      </c>
      <c r="B860" s="1">
        <v>45759</v>
      </c>
      <c r="C860">
        <v>2025</v>
      </c>
      <c r="D860" t="s">
        <v>22</v>
      </c>
      <c r="E860" t="s">
        <v>23</v>
      </c>
      <c r="F860" t="s">
        <v>24</v>
      </c>
      <c r="G860" t="s">
        <v>25</v>
      </c>
      <c r="H860" t="s">
        <v>145</v>
      </c>
      <c r="I860" t="s">
        <v>146</v>
      </c>
      <c r="J860" t="s">
        <v>47</v>
      </c>
      <c r="K860" t="s">
        <v>60</v>
      </c>
      <c r="L860" t="s">
        <v>73</v>
      </c>
      <c r="M860">
        <v>2</v>
      </c>
      <c r="N860">
        <v>129.99</v>
      </c>
      <c r="O860">
        <v>259.98</v>
      </c>
      <c r="P860">
        <v>0</v>
      </c>
      <c r="Q860">
        <v>0</v>
      </c>
      <c r="R860">
        <v>259.98</v>
      </c>
      <c r="S860">
        <v>20.8</v>
      </c>
      <c r="T860">
        <v>280.77999999999997</v>
      </c>
      <c r="U860" t="s">
        <v>111</v>
      </c>
    </row>
    <row r="861" spans="1:21" x14ac:dyDescent="0.35">
      <c r="A861" t="s">
        <v>975</v>
      </c>
      <c r="B861" s="1">
        <v>45761</v>
      </c>
      <c r="C861">
        <v>2025</v>
      </c>
      <c r="D861" t="s">
        <v>122</v>
      </c>
      <c r="E861" t="s">
        <v>123</v>
      </c>
      <c r="F861" t="s">
        <v>64</v>
      </c>
      <c r="G861" t="s">
        <v>124</v>
      </c>
      <c r="H861" t="s">
        <v>94</v>
      </c>
      <c r="I861" t="s">
        <v>95</v>
      </c>
      <c r="J861" t="s">
        <v>56</v>
      </c>
      <c r="K861" t="s">
        <v>60</v>
      </c>
      <c r="L861" t="s">
        <v>73</v>
      </c>
      <c r="M861">
        <v>1</v>
      </c>
      <c r="N861">
        <v>349.99</v>
      </c>
      <c r="O861">
        <v>349.99</v>
      </c>
      <c r="P861">
        <v>0</v>
      </c>
      <c r="Q861">
        <v>0</v>
      </c>
      <c r="R861">
        <v>349.99</v>
      </c>
      <c r="S861">
        <v>28</v>
      </c>
      <c r="T861">
        <v>377.99</v>
      </c>
      <c r="U861" t="s">
        <v>39</v>
      </c>
    </row>
    <row r="862" spans="1:21" x14ac:dyDescent="0.35">
      <c r="A862" t="s">
        <v>976</v>
      </c>
      <c r="B862" s="1">
        <v>45761</v>
      </c>
      <c r="C862">
        <v>2025</v>
      </c>
      <c r="D862" t="s">
        <v>22</v>
      </c>
      <c r="E862" t="s">
        <v>23</v>
      </c>
      <c r="F862" t="s">
        <v>24</v>
      </c>
      <c r="G862" t="s">
        <v>25</v>
      </c>
      <c r="H862" t="s">
        <v>71</v>
      </c>
      <c r="I862" t="s">
        <v>72</v>
      </c>
      <c r="J862" t="s">
        <v>47</v>
      </c>
      <c r="K862" t="s">
        <v>29</v>
      </c>
      <c r="L862" t="s">
        <v>38</v>
      </c>
      <c r="M862">
        <v>1</v>
      </c>
      <c r="N862">
        <v>1199.99</v>
      </c>
      <c r="O862">
        <v>1199.99</v>
      </c>
      <c r="P862">
        <v>0.08</v>
      </c>
      <c r="Q862">
        <v>96</v>
      </c>
      <c r="R862">
        <v>1103.99</v>
      </c>
      <c r="S862">
        <v>88.32</v>
      </c>
      <c r="T862">
        <v>1192.31</v>
      </c>
      <c r="U862" t="s">
        <v>39</v>
      </c>
    </row>
    <row r="863" spans="1:21" x14ac:dyDescent="0.35">
      <c r="A863" t="s">
        <v>977</v>
      </c>
      <c r="B863" s="1">
        <v>45770</v>
      </c>
      <c r="C863">
        <v>2025</v>
      </c>
      <c r="D863" t="s">
        <v>122</v>
      </c>
      <c r="E863" t="s">
        <v>123</v>
      </c>
      <c r="F863" t="s">
        <v>64</v>
      </c>
      <c r="G863" t="s">
        <v>124</v>
      </c>
      <c r="H863" t="s">
        <v>145</v>
      </c>
      <c r="I863" t="s">
        <v>146</v>
      </c>
      <c r="J863" t="s">
        <v>47</v>
      </c>
      <c r="K863" t="s">
        <v>68</v>
      </c>
      <c r="L863" t="s">
        <v>38</v>
      </c>
      <c r="M863">
        <v>18</v>
      </c>
      <c r="N863">
        <v>129.99</v>
      </c>
      <c r="O863">
        <v>2339.8200000000002</v>
      </c>
      <c r="P863">
        <v>0.13</v>
      </c>
      <c r="Q863">
        <v>304.18</v>
      </c>
      <c r="R863">
        <v>2035.64</v>
      </c>
      <c r="S863">
        <v>162.85</v>
      </c>
      <c r="T863">
        <v>2198.4899999999998</v>
      </c>
      <c r="U863" t="s">
        <v>39</v>
      </c>
    </row>
    <row r="864" spans="1:21" x14ac:dyDescent="0.35">
      <c r="A864" t="s">
        <v>978</v>
      </c>
      <c r="B864" s="1">
        <v>45770</v>
      </c>
      <c r="C864">
        <v>2025</v>
      </c>
      <c r="D864" t="s">
        <v>33</v>
      </c>
      <c r="E864" t="s">
        <v>34</v>
      </c>
      <c r="F864" t="s">
        <v>35</v>
      </c>
      <c r="G864" t="s">
        <v>36</v>
      </c>
      <c r="H864" t="s">
        <v>128</v>
      </c>
      <c r="I864" t="s">
        <v>129</v>
      </c>
      <c r="J864" t="s">
        <v>47</v>
      </c>
      <c r="K864" t="s">
        <v>37</v>
      </c>
      <c r="L864" t="s">
        <v>69</v>
      </c>
      <c r="M864">
        <v>21</v>
      </c>
      <c r="N864">
        <v>399.99</v>
      </c>
      <c r="O864">
        <v>8399.7900000000009</v>
      </c>
      <c r="P864">
        <v>0.08</v>
      </c>
      <c r="Q864">
        <v>671.98</v>
      </c>
      <c r="R864">
        <v>7727.81</v>
      </c>
      <c r="S864">
        <v>618.22</v>
      </c>
      <c r="T864">
        <v>8346.0300000000007</v>
      </c>
      <c r="U864" t="s">
        <v>39</v>
      </c>
    </row>
    <row r="865" spans="1:21" x14ac:dyDescent="0.35">
      <c r="A865" t="s">
        <v>979</v>
      </c>
      <c r="B865" s="1">
        <v>45771</v>
      </c>
      <c r="C865">
        <v>2025</v>
      </c>
      <c r="D865" t="s">
        <v>122</v>
      </c>
      <c r="E865" t="s">
        <v>123</v>
      </c>
      <c r="F865" t="s">
        <v>64</v>
      </c>
      <c r="G865" t="s">
        <v>124</v>
      </c>
      <c r="H865" t="s">
        <v>94</v>
      </c>
      <c r="I865" t="s">
        <v>95</v>
      </c>
      <c r="J865" t="s">
        <v>56</v>
      </c>
      <c r="K865" t="s">
        <v>48</v>
      </c>
      <c r="L865" t="s">
        <v>73</v>
      </c>
      <c r="M865">
        <v>6</v>
      </c>
      <c r="N865">
        <v>349.99</v>
      </c>
      <c r="O865">
        <v>2099.94</v>
      </c>
      <c r="P865">
        <v>0</v>
      </c>
      <c r="Q865">
        <v>0</v>
      </c>
      <c r="R865">
        <v>2099.94</v>
      </c>
      <c r="S865">
        <v>168</v>
      </c>
      <c r="T865">
        <v>2267.94</v>
      </c>
      <c r="U865" t="s">
        <v>39</v>
      </c>
    </row>
    <row r="866" spans="1:21" x14ac:dyDescent="0.35">
      <c r="A866" t="s">
        <v>980</v>
      </c>
      <c r="B866" s="1">
        <v>45774</v>
      </c>
      <c r="C866">
        <v>2025</v>
      </c>
      <c r="D866" t="s">
        <v>22</v>
      </c>
      <c r="E866" t="s">
        <v>23</v>
      </c>
      <c r="F866" t="s">
        <v>24</v>
      </c>
      <c r="G866" t="s">
        <v>25</v>
      </c>
      <c r="H866" t="s">
        <v>208</v>
      </c>
      <c r="I866" t="s">
        <v>209</v>
      </c>
      <c r="J866" t="s">
        <v>47</v>
      </c>
      <c r="K866" t="s">
        <v>37</v>
      </c>
      <c r="L866" t="s">
        <v>30</v>
      </c>
      <c r="M866">
        <v>19</v>
      </c>
      <c r="N866">
        <v>49.99</v>
      </c>
      <c r="O866">
        <v>949.81</v>
      </c>
      <c r="P866">
        <v>0.05</v>
      </c>
      <c r="Q866">
        <v>47.49</v>
      </c>
      <c r="R866">
        <v>902.32</v>
      </c>
      <c r="S866">
        <v>72.19</v>
      </c>
      <c r="T866">
        <v>974.51</v>
      </c>
      <c r="U866" t="s">
        <v>39</v>
      </c>
    </row>
    <row r="867" spans="1:21" x14ac:dyDescent="0.35">
      <c r="A867" t="s">
        <v>981</v>
      </c>
      <c r="B867" s="1">
        <v>45775</v>
      </c>
      <c r="C867">
        <v>2025</v>
      </c>
      <c r="D867" t="s">
        <v>22</v>
      </c>
      <c r="E867" t="s">
        <v>23</v>
      </c>
      <c r="F867" t="s">
        <v>24</v>
      </c>
      <c r="G867" t="s">
        <v>25</v>
      </c>
      <c r="H867" t="s">
        <v>26</v>
      </c>
      <c r="I867" t="s">
        <v>27</v>
      </c>
      <c r="J867" t="s">
        <v>28</v>
      </c>
      <c r="K867" t="s">
        <v>60</v>
      </c>
      <c r="L867" t="s">
        <v>73</v>
      </c>
      <c r="M867">
        <v>4</v>
      </c>
      <c r="N867">
        <v>8.99</v>
      </c>
      <c r="O867">
        <v>35.96</v>
      </c>
      <c r="P867">
        <v>0</v>
      </c>
      <c r="Q867">
        <v>0</v>
      </c>
      <c r="R867">
        <v>35.96</v>
      </c>
      <c r="S867">
        <v>2.88</v>
      </c>
      <c r="T867">
        <v>38.840000000000003</v>
      </c>
      <c r="U867" t="s">
        <v>111</v>
      </c>
    </row>
    <row r="868" spans="1:21" x14ac:dyDescent="0.35">
      <c r="A868" t="s">
        <v>982</v>
      </c>
      <c r="B868" s="1">
        <v>45777</v>
      </c>
      <c r="C868">
        <v>2025</v>
      </c>
      <c r="D868" t="s">
        <v>33</v>
      </c>
      <c r="E868" t="s">
        <v>34</v>
      </c>
      <c r="F868" t="s">
        <v>35</v>
      </c>
      <c r="G868" t="s">
        <v>36</v>
      </c>
      <c r="H868" t="s">
        <v>45</v>
      </c>
      <c r="I868" t="s">
        <v>46</v>
      </c>
      <c r="J868" t="s">
        <v>47</v>
      </c>
      <c r="K868" t="s">
        <v>60</v>
      </c>
      <c r="L868" t="s">
        <v>73</v>
      </c>
      <c r="M868">
        <v>16</v>
      </c>
      <c r="N868">
        <v>89.99</v>
      </c>
      <c r="O868">
        <v>1439.84</v>
      </c>
      <c r="P868">
        <v>0.05</v>
      </c>
      <c r="Q868">
        <v>71.989999999999995</v>
      </c>
      <c r="R868">
        <v>1367.85</v>
      </c>
      <c r="S868">
        <v>109.43</v>
      </c>
      <c r="T868">
        <v>1477.28</v>
      </c>
      <c r="U868" t="s">
        <v>39</v>
      </c>
    </row>
    <row r="869" spans="1:21" x14ac:dyDescent="0.35">
      <c r="A869" t="s">
        <v>983</v>
      </c>
      <c r="B869" s="1">
        <v>45777</v>
      </c>
      <c r="C869">
        <v>2025</v>
      </c>
      <c r="D869" t="s">
        <v>81</v>
      </c>
      <c r="E869" t="s">
        <v>82</v>
      </c>
      <c r="F869" t="s">
        <v>35</v>
      </c>
      <c r="G869" t="s">
        <v>83</v>
      </c>
      <c r="H869" t="s">
        <v>208</v>
      </c>
      <c r="I869" t="s">
        <v>209</v>
      </c>
      <c r="J869" t="s">
        <v>47</v>
      </c>
      <c r="K869" t="s">
        <v>48</v>
      </c>
      <c r="L869" t="s">
        <v>69</v>
      </c>
      <c r="M869">
        <v>16</v>
      </c>
      <c r="N869">
        <v>49.99</v>
      </c>
      <c r="O869">
        <v>799.84</v>
      </c>
      <c r="P869">
        <v>0.05</v>
      </c>
      <c r="Q869">
        <v>39.99</v>
      </c>
      <c r="R869">
        <v>759.85</v>
      </c>
      <c r="S869">
        <v>60.79</v>
      </c>
      <c r="T869">
        <v>820.64</v>
      </c>
      <c r="U869" t="s">
        <v>39</v>
      </c>
    </row>
    <row r="870" spans="1:21" x14ac:dyDescent="0.35">
      <c r="A870" t="s">
        <v>984</v>
      </c>
      <c r="B870" s="1">
        <v>45778</v>
      </c>
      <c r="C870">
        <v>2025</v>
      </c>
      <c r="D870" t="s">
        <v>97</v>
      </c>
      <c r="E870" t="s">
        <v>98</v>
      </c>
      <c r="F870" t="s">
        <v>35</v>
      </c>
      <c r="G870" t="s">
        <v>99</v>
      </c>
      <c r="H870" t="s">
        <v>128</v>
      </c>
      <c r="I870" t="s">
        <v>129</v>
      </c>
      <c r="J870" t="s">
        <v>47</v>
      </c>
      <c r="K870" t="s">
        <v>37</v>
      </c>
      <c r="L870" t="s">
        <v>73</v>
      </c>
      <c r="M870">
        <v>21</v>
      </c>
      <c r="N870">
        <v>399.99</v>
      </c>
      <c r="O870">
        <v>8399.7900000000009</v>
      </c>
      <c r="P870">
        <v>0.08</v>
      </c>
      <c r="Q870">
        <v>671.98</v>
      </c>
      <c r="R870">
        <v>7727.81</v>
      </c>
      <c r="S870">
        <v>618.22</v>
      </c>
      <c r="T870">
        <v>8346.0300000000007</v>
      </c>
      <c r="U870" t="s">
        <v>111</v>
      </c>
    </row>
    <row r="871" spans="1:21" x14ac:dyDescent="0.35">
      <c r="A871" t="s">
        <v>985</v>
      </c>
      <c r="B871" s="1">
        <v>45778</v>
      </c>
      <c r="C871">
        <v>2025</v>
      </c>
      <c r="D871" t="s">
        <v>62</v>
      </c>
      <c r="E871" t="s">
        <v>63</v>
      </c>
      <c r="F871" t="s">
        <v>64</v>
      </c>
      <c r="G871" t="s">
        <v>65</v>
      </c>
      <c r="H871" t="s">
        <v>78</v>
      </c>
      <c r="I871" t="s">
        <v>79</v>
      </c>
      <c r="J871" t="s">
        <v>28</v>
      </c>
      <c r="K871" t="s">
        <v>29</v>
      </c>
      <c r="L871" t="s">
        <v>38</v>
      </c>
      <c r="M871">
        <v>7</v>
      </c>
      <c r="N871">
        <v>5.99</v>
      </c>
      <c r="O871">
        <v>41.93</v>
      </c>
      <c r="P871">
        <v>0.08</v>
      </c>
      <c r="Q871">
        <v>3.35</v>
      </c>
      <c r="R871">
        <v>38.58</v>
      </c>
      <c r="S871">
        <v>3.09</v>
      </c>
      <c r="T871">
        <v>41.67</v>
      </c>
      <c r="U871" t="s">
        <v>111</v>
      </c>
    </row>
    <row r="872" spans="1:21" x14ac:dyDescent="0.35">
      <c r="A872" t="s">
        <v>986</v>
      </c>
      <c r="B872" s="1">
        <v>45780</v>
      </c>
      <c r="C872">
        <v>2025</v>
      </c>
      <c r="D872" t="s">
        <v>122</v>
      </c>
      <c r="E872" t="s">
        <v>123</v>
      </c>
      <c r="F872" t="s">
        <v>64</v>
      </c>
      <c r="G872" t="s">
        <v>124</v>
      </c>
      <c r="H872" t="s">
        <v>100</v>
      </c>
      <c r="I872" t="s">
        <v>101</v>
      </c>
      <c r="J872" t="s">
        <v>47</v>
      </c>
      <c r="K872" t="s">
        <v>37</v>
      </c>
      <c r="L872" t="s">
        <v>30</v>
      </c>
      <c r="M872">
        <v>22</v>
      </c>
      <c r="N872">
        <v>29.99</v>
      </c>
      <c r="O872">
        <v>659.78</v>
      </c>
      <c r="P872">
        <v>0.08</v>
      </c>
      <c r="Q872">
        <v>52.78</v>
      </c>
      <c r="R872">
        <v>607</v>
      </c>
      <c r="S872">
        <v>48.56</v>
      </c>
      <c r="T872">
        <v>655.56</v>
      </c>
      <c r="U872" t="s">
        <v>39</v>
      </c>
    </row>
    <row r="873" spans="1:21" x14ac:dyDescent="0.35">
      <c r="A873" t="s">
        <v>987</v>
      </c>
      <c r="B873" s="1">
        <v>45782</v>
      </c>
      <c r="C873">
        <v>2025</v>
      </c>
      <c r="D873" t="s">
        <v>81</v>
      </c>
      <c r="E873" t="s">
        <v>82</v>
      </c>
      <c r="F873" t="s">
        <v>35</v>
      </c>
      <c r="G873" t="s">
        <v>83</v>
      </c>
      <c r="H873" t="s">
        <v>58</v>
      </c>
      <c r="I873" t="s">
        <v>59</v>
      </c>
      <c r="J873" t="s">
        <v>56</v>
      </c>
      <c r="K873" t="s">
        <v>60</v>
      </c>
      <c r="L873" t="s">
        <v>38</v>
      </c>
      <c r="M873">
        <v>16</v>
      </c>
      <c r="N873">
        <v>599.99</v>
      </c>
      <c r="O873">
        <v>9599.84</v>
      </c>
      <c r="P873">
        <v>0.13</v>
      </c>
      <c r="Q873">
        <v>1247.98</v>
      </c>
      <c r="R873">
        <v>8351.86</v>
      </c>
      <c r="S873">
        <v>668.15</v>
      </c>
      <c r="T873">
        <v>0</v>
      </c>
      <c r="U873" t="s">
        <v>31</v>
      </c>
    </row>
    <row r="874" spans="1:21" x14ac:dyDescent="0.35">
      <c r="A874" t="s">
        <v>988</v>
      </c>
      <c r="B874" s="1">
        <v>45782</v>
      </c>
      <c r="C874">
        <v>2025</v>
      </c>
      <c r="D874" t="s">
        <v>51</v>
      </c>
      <c r="E874" t="s">
        <v>52</v>
      </c>
      <c r="F874" t="s">
        <v>24</v>
      </c>
      <c r="G874" t="s">
        <v>53</v>
      </c>
      <c r="H874" t="s">
        <v>66</v>
      </c>
      <c r="I874" t="s">
        <v>67</v>
      </c>
      <c r="J874" t="s">
        <v>56</v>
      </c>
      <c r="K874" t="s">
        <v>48</v>
      </c>
      <c r="L874" t="s">
        <v>69</v>
      </c>
      <c r="M874">
        <v>26</v>
      </c>
      <c r="N874">
        <v>229.99</v>
      </c>
      <c r="O874">
        <v>5979.74</v>
      </c>
      <c r="P874">
        <v>0.08</v>
      </c>
      <c r="Q874">
        <v>478.38</v>
      </c>
      <c r="R874">
        <v>5501.36</v>
      </c>
      <c r="S874">
        <v>440.11</v>
      </c>
      <c r="T874">
        <v>5941.47</v>
      </c>
      <c r="U874" t="s">
        <v>39</v>
      </c>
    </row>
    <row r="875" spans="1:21" x14ac:dyDescent="0.35">
      <c r="A875" t="s">
        <v>989</v>
      </c>
      <c r="B875" s="1">
        <v>45785</v>
      </c>
      <c r="C875">
        <v>2025</v>
      </c>
      <c r="D875" t="s">
        <v>142</v>
      </c>
      <c r="E875" t="s">
        <v>143</v>
      </c>
      <c r="F875" t="s">
        <v>43</v>
      </c>
      <c r="G875" t="s">
        <v>144</v>
      </c>
      <c r="H875" t="s">
        <v>78</v>
      </c>
      <c r="I875" t="s">
        <v>79</v>
      </c>
      <c r="J875" t="s">
        <v>28</v>
      </c>
      <c r="K875" t="s">
        <v>37</v>
      </c>
      <c r="L875" t="s">
        <v>73</v>
      </c>
      <c r="M875">
        <v>7</v>
      </c>
      <c r="N875">
        <v>5.99</v>
      </c>
      <c r="O875">
        <v>41.93</v>
      </c>
      <c r="P875">
        <v>0</v>
      </c>
      <c r="Q875">
        <v>0</v>
      </c>
      <c r="R875">
        <v>41.93</v>
      </c>
      <c r="S875">
        <v>3.35</v>
      </c>
      <c r="T875">
        <v>45.28</v>
      </c>
      <c r="U875" t="s">
        <v>39</v>
      </c>
    </row>
    <row r="876" spans="1:21" x14ac:dyDescent="0.35">
      <c r="A876" t="s">
        <v>990</v>
      </c>
      <c r="B876" s="1">
        <v>45785</v>
      </c>
      <c r="C876">
        <v>2025</v>
      </c>
      <c r="D876" t="s">
        <v>107</v>
      </c>
      <c r="E876" t="s">
        <v>108</v>
      </c>
      <c r="F876" t="s">
        <v>35</v>
      </c>
      <c r="G876" t="s">
        <v>109</v>
      </c>
      <c r="H876" t="s">
        <v>94</v>
      </c>
      <c r="I876" t="s">
        <v>95</v>
      </c>
      <c r="J876" t="s">
        <v>56</v>
      </c>
      <c r="K876" t="s">
        <v>37</v>
      </c>
      <c r="L876" t="s">
        <v>38</v>
      </c>
      <c r="M876">
        <v>4</v>
      </c>
      <c r="N876">
        <v>349.99</v>
      </c>
      <c r="O876">
        <v>1399.96</v>
      </c>
      <c r="P876">
        <v>0.08</v>
      </c>
      <c r="Q876">
        <v>112</v>
      </c>
      <c r="R876">
        <v>1287.96</v>
      </c>
      <c r="S876">
        <v>103.04</v>
      </c>
      <c r="T876">
        <v>1391</v>
      </c>
      <c r="U876" t="s">
        <v>39</v>
      </c>
    </row>
    <row r="877" spans="1:21" x14ac:dyDescent="0.35">
      <c r="A877" t="s">
        <v>991</v>
      </c>
      <c r="B877" s="1">
        <v>45786</v>
      </c>
      <c r="C877">
        <v>2025</v>
      </c>
      <c r="D877" t="s">
        <v>62</v>
      </c>
      <c r="E877" t="s">
        <v>63</v>
      </c>
      <c r="F877" t="s">
        <v>64</v>
      </c>
      <c r="G877" t="s">
        <v>65</v>
      </c>
      <c r="H877" t="s">
        <v>66</v>
      </c>
      <c r="I877" t="s">
        <v>67</v>
      </c>
      <c r="J877" t="s">
        <v>56</v>
      </c>
      <c r="K877" t="s">
        <v>37</v>
      </c>
      <c r="L877" t="s">
        <v>30</v>
      </c>
      <c r="M877">
        <v>1</v>
      </c>
      <c r="N877">
        <v>229.99</v>
      </c>
      <c r="O877">
        <v>229.99</v>
      </c>
      <c r="P877">
        <v>0</v>
      </c>
      <c r="Q877">
        <v>0</v>
      </c>
      <c r="R877">
        <v>229.99</v>
      </c>
      <c r="S877">
        <v>18.399999999999999</v>
      </c>
      <c r="T877">
        <v>248.39</v>
      </c>
      <c r="U877" t="s">
        <v>39</v>
      </c>
    </row>
    <row r="878" spans="1:21" x14ac:dyDescent="0.35">
      <c r="A878" t="s">
        <v>992</v>
      </c>
      <c r="B878" s="1">
        <v>45789</v>
      </c>
      <c r="C878">
        <v>2025</v>
      </c>
      <c r="D878" t="s">
        <v>41</v>
      </c>
      <c r="E878" t="s">
        <v>42</v>
      </c>
      <c r="F878" t="s">
        <v>43</v>
      </c>
      <c r="G878" t="s">
        <v>44</v>
      </c>
      <c r="H878" t="s">
        <v>84</v>
      </c>
      <c r="I878" t="s">
        <v>85</v>
      </c>
      <c r="J878" t="s">
        <v>47</v>
      </c>
      <c r="K878" t="s">
        <v>48</v>
      </c>
      <c r="L878" t="s">
        <v>30</v>
      </c>
      <c r="M878">
        <v>19</v>
      </c>
      <c r="N878">
        <v>249.99</v>
      </c>
      <c r="O878">
        <v>4749.8100000000004</v>
      </c>
      <c r="P878">
        <v>0.05</v>
      </c>
      <c r="Q878">
        <v>237.49</v>
      </c>
      <c r="R878">
        <v>4512.32</v>
      </c>
      <c r="S878">
        <v>360.99</v>
      </c>
      <c r="T878">
        <v>4873.3100000000004</v>
      </c>
      <c r="U878" t="s">
        <v>111</v>
      </c>
    </row>
    <row r="879" spans="1:21" x14ac:dyDescent="0.35">
      <c r="A879" t="s">
        <v>993</v>
      </c>
      <c r="B879" s="1">
        <v>45790</v>
      </c>
      <c r="C879">
        <v>2025</v>
      </c>
      <c r="D879" t="s">
        <v>33</v>
      </c>
      <c r="E879" t="s">
        <v>34</v>
      </c>
      <c r="F879" t="s">
        <v>35</v>
      </c>
      <c r="G879" t="s">
        <v>36</v>
      </c>
      <c r="H879" t="s">
        <v>45</v>
      </c>
      <c r="I879" t="s">
        <v>46</v>
      </c>
      <c r="J879" t="s">
        <v>47</v>
      </c>
      <c r="K879" t="s">
        <v>37</v>
      </c>
      <c r="L879" t="s">
        <v>49</v>
      </c>
      <c r="M879">
        <v>28</v>
      </c>
      <c r="N879">
        <v>89.99</v>
      </c>
      <c r="O879">
        <v>2519.7199999999998</v>
      </c>
      <c r="P879">
        <v>0.08</v>
      </c>
      <c r="Q879">
        <v>201.58</v>
      </c>
      <c r="R879">
        <v>2318.14</v>
      </c>
      <c r="S879">
        <v>185.45</v>
      </c>
      <c r="T879">
        <v>0</v>
      </c>
      <c r="U879" t="s">
        <v>31</v>
      </c>
    </row>
    <row r="880" spans="1:21" x14ac:dyDescent="0.35">
      <c r="A880" t="s">
        <v>994</v>
      </c>
      <c r="B880" s="1">
        <v>45792</v>
      </c>
      <c r="C880">
        <v>2025</v>
      </c>
      <c r="D880" t="s">
        <v>33</v>
      </c>
      <c r="E880" t="s">
        <v>34</v>
      </c>
      <c r="F880" t="s">
        <v>35</v>
      </c>
      <c r="G880" t="s">
        <v>36</v>
      </c>
      <c r="H880" t="s">
        <v>45</v>
      </c>
      <c r="I880" t="s">
        <v>46</v>
      </c>
      <c r="J880" t="s">
        <v>47</v>
      </c>
      <c r="K880" t="s">
        <v>37</v>
      </c>
      <c r="L880" t="s">
        <v>73</v>
      </c>
      <c r="M880">
        <v>7</v>
      </c>
      <c r="N880">
        <v>89.99</v>
      </c>
      <c r="O880">
        <v>629.92999999999995</v>
      </c>
      <c r="P880">
        <v>0</v>
      </c>
      <c r="Q880">
        <v>0</v>
      </c>
      <c r="R880">
        <v>629.92999999999995</v>
      </c>
      <c r="S880">
        <v>50.39</v>
      </c>
      <c r="T880">
        <v>0</v>
      </c>
      <c r="U880" t="s">
        <v>31</v>
      </c>
    </row>
    <row r="881" spans="1:21" x14ac:dyDescent="0.35">
      <c r="A881" t="s">
        <v>995</v>
      </c>
      <c r="B881" s="1">
        <v>45792</v>
      </c>
      <c r="C881">
        <v>2025</v>
      </c>
      <c r="D881" t="s">
        <v>107</v>
      </c>
      <c r="E881" t="s">
        <v>108</v>
      </c>
      <c r="F881" t="s">
        <v>35</v>
      </c>
      <c r="G881" t="s">
        <v>109</v>
      </c>
      <c r="H881" t="s">
        <v>128</v>
      </c>
      <c r="I881" t="s">
        <v>129</v>
      </c>
      <c r="J881" t="s">
        <v>47</v>
      </c>
      <c r="K881" t="s">
        <v>48</v>
      </c>
      <c r="L881" t="s">
        <v>38</v>
      </c>
      <c r="M881">
        <v>3</v>
      </c>
      <c r="N881">
        <v>399.99</v>
      </c>
      <c r="O881">
        <v>1199.97</v>
      </c>
      <c r="P881">
        <v>0.08</v>
      </c>
      <c r="Q881">
        <v>96</v>
      </c>
      <c r="R881">
        <v>1103.97</v>
      </c>
      <c r="S881">
        <v>88.32</v>
      </c>
      <c r="T881">
        <v>1192.29</v>
      </c>
      <c r="U881" t="s">
        <v>39</v>
      </c>
    </row>
    <row r="882" spans="1:21" x14ac:dyDescent="0.35">
      <c r="A882" t="s">
        <v>996</v>
      </c>
      <c r="B882" s="1">
        <v>45793</v>
      </c>
      <c r="C882">
        <v>2025</v>
      </c>
      <c r="D882" t="s">
        <v>186</v>
      </c>
      <c r="E882" t="s">
        <v>187</v>
      </c>
      <c r="F882" t="s">
        <v>43</v>
      </c>
      <c r="G882" t="s">
        <v>188</v>
      </c>
      <c r="H882" t="s">
        <v>66</v>
      </c>
      <c r="I882" t="s">
        <v>67</v>
      </c>
      <c r="J882" t="s">
        <v>56</v>
      </c>
      <c r="K882" t="s">
        <v>29</v>
      </c>
      <c r="L882" t="s">
        <v>30</v>
      </c>
      <c r="M882">
        <v>17</v>
      </c>
      <c r="N882">
        <v>229.99</v>
      </c>
      <c r="O882">
        <v>3909.83</v>
      </c>
      <c r="P882">
        <v>0.05</v>
      </c>
      <c r="Q882">
        <v>195.49</v>
      </c>
      <c r="R882">
        <v>3714.34</v>
      </c>
      <c r="S882">
        <v>297.14999999999998</v>
      </c>
      <c r="T882">
        <v>4011.49</v>
      </c>
      <c r="U882" t="s">
        <v>111</v>
      </c>
    </row>
    <row r="883" spans="1:21" x14ac:dyDescent="0.35">
      <c r="A883" t="s">
        <v>997</v>
      </c>
      <c r="B883" s="1">
        <v>45796</v>
      </c>
      <c r="C883">
        <v>2025</v>
      </c>
      <c r="D883" t="s">
        <v>81</v>
      </c>
      <c r="E883" t="s">
        <v>82</v>
      </c>
      <c r="F883" t="s">
        <v>35</v>
      </c>
      <c r="G883" t="s">
        <v>83</v>
      </c>
      <c r="H883" t="s">
        <v>58</v>
      </c>
      <c r="I883" t="s">
        <v>59</v>
      </c>
      <c r="J883" t="s">
        <v>56</v>
      </c>
      <c r="K883" t="s">
        <v>37</v>
      </c>
      <c r="L883" t="s">
        <v>30</v>
      </c>
      <c r="M883">
        <v>13</v>
      </c>
      <c r="N883">
        <v>599.99</v>
      </c>
      <c r="O883">
        <v>7799.87</v>
      </c>
      <c r="P883">
        <v>0.05</v>
      </c>
      <c r="Q883">
        <v>389.99</v>
      </c>
      <c r="R883">
        <v>7409.88</v>
      </c>
      <c r="S883">
        <v>592.79</v>
      </c>
      <c r="T883">
        <v>8002.67</v>
      </c>
      <c r="U883" t="s">
        <v>111</v>
      </c>
    </row>
    <row r="884" spans="1:21" x14ac:dyDescent="0.35">
      <c r="A884" t="s">
        <v>998</v>
      </c>
      <c r="B884" s="1">
        <v>45803</v>
      </c>
      <c r="C884">
        <v>2025</v>
      </c>
      <c r="D884" t="s">
        <v>62</v>
      </c>
      <c r="E884" t="s">
        <v>63</v>
      </c>
      <c r="F884" t="s">
        <v>64</v>
      </c>
      <c r="G884" t="s">
        <v>65</v>
      </c>
      <c r="H884" t="s">
        <v>100</v>
      </c>
      <c r="I884" t="s">
        <v>101</v>
      </c>
      <c r="J884" t="s">
        <v>47</v>
      </c>
      <c r="K884" t="s">
        <v>60</v>
      </c>
      <c r="L884" t="s">
        <v>49</v>
      </c>
      <c r="M884">
        <v>8</v>
      </c>
      <c r="N884">
        <v>29.99</v>
      </c>
      <c r="O884">
        <v>239.92</v>
      </c>
      <c r="P884">
        <v>0</v>
      </c>
      <c r="Q884">
        <v>0</v>
      </c>
      <c r="R884">
        <v>239.92</v>
      </c>
      <c r="S884">
        <v>19.190000000000001</v>
      </c>
      <c r="T884">
        <v>259.11</v>
      </c>
      <c r="U884" t="s">
        <v>39</v>
      </c>
    </row>
    <row r="885" spans="1:21" x14ac:dyDescent="0.35">
      <c r="A885" t="s">
        <v>999</v>
      </c>
      <c r="B885" s="1">
        <v>45804</v>
      </c>
      <c r="C885">
        <v>2025</v>
      </c>
      <c r="D885" t="s">
        <v>41</v>
      </c>
      <c r="E885" t="s">
        <v>42</v>
      </c>
      <c r="F885" t="s">
        <v>43</v>
      </c>
      <c r="G885" t="s">
        <v>44</v>
      </c>
      <c r="H885" t="s">
        <v>54</v>
      </c>
      <c r="I885" t="s">
        <v>55</v>
      </c>
      <c r="J885" t="s">
        <v>56</v>
      </c>
      <c r="K885" t="s">
        <v>60</v>
      </c>
      <c r="L885" t="s">
        <v>69</v>
      </c>
      <c r="M885">
        <v>20</v>
      </c>
      <c r="N885">
        <v>39.99</v>
      </c>
      <c r="O885">
        <v>799.8</v>
      </c>
      <c r="P885">
        <v>0.08</v>
      </c>
      <c r="Q885">
        <v>63.98</v>
      </c>
      <c r="R885">
        <v>735.82</v>
      </c>
      <c r="S885">
        <v>58.87</v>
      </c>
      <c r="T885">
        <v>794.69</v>
      </c>
      <c r="U885" t="s">
        <v>39</v>
      </c>
    </row>
    <row r="886" spans="1:21" x14ac:dyDescent="0.35">
      <c r="A886" t="s">
        <v>1000</v>
      </c>
      <c r="B886" s="1">
        <v>45806</v>
      </c>
      <c r="C886">
        <v>2025</v>
      </c>
      <c r="D886" t="s">
        <v>148</v>
      </c>
      <c r="E886" t="s">
        <v>149</v>
      </c>
      <c r="F886" t="s">
        <v>43</v>
      </c>
      <c r="G886" t="s">
        <v>150</v>
      </c>
      <c r="H886" t="s">
        <v>78</v>
      </c>
      <c r="I886" t="s">
        <v>79</v>
      </c>
      <c r="J886" t="s">
        <v>28</v>
      </c>
      <c r="K886" t="s">
        <v>68</v>
      </c>
      <c r="L886" t="s">
        <v>49</v>
      </c>
      <c r="M886">
        <v>4</v>
      </c>
      <c r="N886">
        <v>5.99</v>
      </c>
      <c r="O886">
        <v>23.96</v>
      </c>
      <c r="P886">
        <v>0</v>
      </c>
      <c r="Q886">
        <v>0</v>
      </c>
      <c r="R886">
        <v>23.96</v>
      </c>
      <c r="S886">
        <v>1.92</v>
      </c>
      <c r="T886">
        <v>0</v>
      </c>
      <c r="U886" t="s">
        <v>31</v>
      </c>
    </row>
    <row r="887" spans="1:21" x14ac:dyDescent="0.35">
      <c r="A887" t="s">
        <v>1001</v>
      </c>
      <c r="B887" s="1">
        <v>45808</v>
      </c>
      <c r="C887">
        <v>2025</v>
      </c>
      <c r="D887" t="s">
        <v>87</v>
      </c>
      <c r="E887" t="s">
        <v>88</v>
      </c>
      <c r="F887" t="s">
        <v>24</v>
      </c>
      <c r="G887" t="s">
        <v>89</v>
      </c>
      <c r="H887" t="s">
        <v>145</v>
      </c>
      <c r="I887" t="s">
        <v>146</v>
      </c>
      <c r="J887" t="s">
        <v>47</v>
      </c>
      <c r="K887" t="s">
        <v>68</v>
      </c>
      <c r="L887" t="s">
        <v>30</v>
      </c>
      <c r="M887">
        <v>17</v>
      </c>
      <c r="N887">
        <v>129.99</v>
      </c>
      <c r="O887">
        <v>2209.83</v>
      </c>
      <c r="P887">
        <v>0.05</v>
      </c>
      <c r="Q887">
        <v>110.49</v>
      </c>
      <c r="R887">
        <v>2099.34</v>
      </c>
      <c r="S887">
        <v>167.95</v>
      </c>
      <c r="T887">
        <v>2267.29</v>
      </c>
      <c r="U887" t="s">
        <v>39</v>
      </c>
    </row>
    <row r="888" spans="1:21" x14ac:dyDescent="0.35">
      <c r="A888" t="s">
        <v>1002</v>
      </c>
      <c r="B888" s="1">
        <v>45813</v>
      </c>
      <c r="C888">
        <v>2025</v>
      </c>
      <c r="D888" t="s">
        <v>51</v>
      </c>
      <c r="E888" t="s">
        <v>52</v>
      </c>
      <c r="F888" t="s">
        <v>24</v>
      </c>
      <c r="G888" t="s">
        <v>53</v>
      </c>
      <c r="H888" t="s">
        <v>128</v>
      </c>
      <c r="I888" t="s">
        <v>129</v>
      </c>
      <c r="J888" t="s">
        <v>47</v>
      </c>
      <c r="K888" t="s">
        <v>37</v>
      </c>
      <c r="L888" t="s">
        <v>38</v>
      </c>
      <c r="M888">
        <v>5</v>
      </c>
      <c r="N888">
        <v>399.99</v>
      </c>
      <c r="O888">
        <v>1999.95</v>
      </c>
      <c r="P888">
        <v>0.08</v>
      </c>
      <c r="Q888">
        <v>160</v>
      </c>
      <c r="R888">
        <v>1839.95</v>
      </c>
      <c r="S888">
        <v>147.19999999999999</v>
      </c>
      <c r="T888">
        <v>1987.15</v>
      </c>
      <c r="U888" t="s">
        <v>39</v>
      </c>
    </row>
    <row r="889" spans="1:21" x14ac:dyDescent="0.35">
      <c r="A889" t="s">
        <v>1003</v>
      </c>
      <c r="B889" s="1">
        <v>45822</v>
      </c>
      <c r="C889">
        <v>2025</v>
      </c>
      <c r="D889" t="s">
        <v>41</v>
      </c>
      <c r="E889" t="s">
        <v>42</v>
      </c>
      <c r="F889" t="s">
        <v>43</v>
      </c>
      <c r="G889" t="s">
        <v>44</v>
      </c>
      <c r="H889" t="s">
        <v>128</v>
      </c>
      <c r="I889" t="s">
        <v>129</v>
      </c>
      <c r="J889" t="s">
        <v>47</v>
      </c>
      <c r="K889" t="s">
        <v>68</v>
      </c>
      <c r="L889" t="s">
        <v>49</v>
      </c>
      <c r="M889">
        <v>7</v>
      </c>
      <c r="N889">
        <v>399.99</v>
      </c>
      <c r="O889">
        <v>2799.93</v>
      </c>
      <c r="P889">
        <v>0</v>
      </c>
      <c r="Q889">
        <v>0</v>
      </c>
      <c r="R889">
        <v>2799.93</v>
      </c>
      <c r="S889">
        <v>223.99</v>
      </c>
      <c r="T889">
        <v>3023.92</v>
      </c>
      <c r="U889" t="s">
        <v>111</v>
      </c>
    </row>
    <row r="890" spans="1:21" x14ac:dyDescent="0.35">
      <c r="A890" t="s">
        <v>1004</v>
      </c>
      <c r="B890" s="1">
        <v>45823</v>
      </c>
      <c r="C890">
        <v>2025</v>
      </c>
      <c r="D890" t="s">
        <v>142</v>
      </c>
      <c r="E890" t="s">
        <v>143</v>
      </c>
      <c r="F890" t="s">
        <v>43</v>
      </c>
      <c r="G890" t="s">
        <v>144</v>
      </c>
      <c r="H890" t="s">
        <v>128</v>
      </c>
      <c r="I890" t="s">
        <v>129</v>
      </c>
      <c r="J890" t="s">
        <v>47</v>
      </c>
      <c r="K890" t="s">
        <v>48</v>
      </c>
      <c r="L890" t="s">
        <v>73</v>
      </c>
      <c r="M890">
        <v>12</v>
      </c>
      <c r="N890">
        <v>399.99</v>
      </c>
      <c r="O890">
        <v>4799.88</v>
      </c>
      <c r="P890">
        <v>0.05</v>
      </c>
      <c r="Q890">
        <v>239.99</v>
      </c>
      <c r="R890">
        <v>4559.8900000000003</v>
      </c>
      <c r="S890">
        <v>364.79</v>
      </c>
      <c r="T890">
        <v>0</v>
      </c>
      <c r="U890" t="s">
        <v>31</v>
      </c>
    </row>
    <row r="891" spans="1:21" x14ac:dyDescent="0.35">
      <c r="A891" t="s">
        <v>1005</v>
      </c>
      <c r="B891" s="1">
        <v>45827</v>
      </c>
      <c r="C891">
        <v>2025</v>
      </c>
      <c r="D891" t="s">
        <v>33</v>
      </c>
      <c r="E891" t="s">
        <v>34</v>
      </c>
      <c r="F891" t="s">
        <v>35</v>
      </c>
      <c r="G891" t="s">
        <v>36</v>
      </c>
      <c r="H891" t="s">
        <v>145</v>
      </c>
      <c r="I891" t="s">
        <v>146</v>
      </c>
      <c r="J891" t="s">
        <v>47</v>
      </c>
      <c r="K891" t="s">
        <v>37</v>
      </c>
      <c r="L891" t="s">
        <v>73</v>
      </c>
      <c r="M891">
        <v>22</v>
      </c>
      <c r="N891">
        <v>129.99</v>
      </c>
      <c r="O891">
        <v>2859.78</v>
      </c>
      <c r="P891">
        <v>0.08</v>
      </c>
      <c r="Q891">
        <v>228.78</v>
      </c>
      <c r="R891">
        <v>2631</v>
      </c>
      <c r="S891">
        <v>210.48</v>
      </c>
      <c r="T891">
        <v>2841.48</v>
      </c>
      <c r="U891" t="s">
        <v>39</v>
      </c>
    </row>
    <row r="892" spans="1:21" x14ac:dyDescent="0.35">
      <c r="A892" t="s">
        <v>1006</v>
      </c>
      <c r="B892" s="1">
        <v>45827</v>
      </c>
      <c r="C892">
        <v>2025</v>
      </c>
      <c r="D892" t="s">
        <v>186</v>
      </c>
      <c r="E892" t="s">
        <v>187</v>
      </c>
      <c r="F892" t="s">
        <v>43</v>
      </c>
      <c r="G892" t="s">
        <v>188</v>
      </c>
      <c r="H892" t="s">
        <v>26</v>
      </c>
      <c r="I892" t="s">
        <v>27</v>
      </c>
      <c r="J892" t="s">
        <v>28</v>
      </c>
      <c r="K892" t="s">
        <v>68</v>
      </c>
      <c r="L892" t="s">
        <v>73</v>
      </c>
      <c r="M892">
        <v>26</v>
      </c>
      <c r="N892">
        <v>8.99</v>
      </c>
      <c r="O892">
        <v>233.74</v>
      </c>
      <c r="P892">
        <v>0.08</v>
      </c>
      <c r="Q892">
        <v>18.7</v>
      </c>
      <c r="R892">
        <v>215.04</v>
      </c>
      <c r="S892">
        <v>17.2</v>
      </c>
      <c r="T892">
        <v>232.24</v>
      </c>
      <c r="U892" t="s">
        <v>39</v>
      </c>
    </row>
    <row r="893" spans="1:21" x14ac:dyDescent="0.35">
      <c r="A893" t="s">
        <v>1007</v>
      </c>
      <c r="B893" s="1">
        <v>45830</v>
      </c>
      <c r="C893">
        <v>2025</v>
      </c>
      <c r="D893" t="s">
        <v>62</v>
      </c>
      <c r="E893" t="s">
        <v>63</v>
      </c>
      <c r="F893" t="s">
        <v>64</v>
      </c>
      <c r="G893" t="s">
        <v>65</v>
      </c>
      <c r="H893" t="s">
        <v>128</v>
      </c>
      <c r="I893" t="s">
        <v>129</v>
      </c>
      <c r="J893" t="s">
        <v>47</v>
      </c>
      <c r="K893" t="s">
        <v>29</v>
      </c>
      <c r="L893" t="s">
        <v>73</v>
      </c>
      <c r="M893">
        <v>26</v>
      </c>
      <c r="N893">
        <v>399.99</v>
      </c>
      <c r="O893">
        <v>10399.74</v>
      </c>
      <c r="P893">
        <v>0.08</v>
      </c>
      <c r="Q893">
        <v>831.98</v>
      </c>
      <c r="R893">
        <v>9567.76</v>
      </c>
      <c r="S893">
        <v>765.42</v>
      </c>
      <c r="T893">
        <v>10333.18</v>
      </c>
      <c r="U893" t="s">
        <v>111</v>
      </c>
    </row>
    <row r="894" spans="1:21" x14ac:dyDescent="0.35">
      <c r="A894" t="s">
        <v>1008</v>
      </c>
      <c r="B894" s="1">
        <v>45834</v>
      </c>
      <c r="C894">
        <v>2025</v>
      </c>
      <c r="D894" t="s">
        <v>87</v>
      </c>
      <c r="E894" t="s">
        <v>88</v>
      </c>
      <c r="F894" t="s">
        <v>24</v>
      </c>
      <c r="G894" t="s">
        <v>89</v>
      </c>
      <c r="H894" t="s">
        <v>54</v>
      </c>
      <c r="I894" t="s">
        <v>55</v>
      </c>
      <c r="J894" t="s">
        <v>56</v>
      </c>
      <c r="K894" t="s">
        <v>68</v>
      </c>
      <c r="L894" t="s">
        <v>49</v>
      </c>
      <c r="M894">
        <v>24</v>
      </c>
      <c r="N894">
        <v>39.99</v>
      </c>
      <c r="O894">
        <v>959.76</v>
      </c>
      <c r="P894">
        <v>0.08</v>
      </c>
      <c r="Q894">
        <v>76.78</v>
      </c>
      <c r="R894">
        <v>882.98</v>
      </c>
      <c r="S894">
        <v>70.64</v>
      </c>
      <c r="T894">
        <v>953.62</v>
      </c>
      <c r="U894" t="s">
        <v>39</v>
      </c>
    </row>
    <row r="895" spans="1:21" x14ac:dyDescent="0.35">
      <c r="A895" t="s">
        <v>1009</v>
      </c>
      <c r="B895" s="1">
        <v>45835</v>
      </c>
      <c r="C895">
        <v>2025</v>
      </c>
      <c r="D895" t="s">
        <v>122</v>
      </c>
      <c r="E895" t="s">
        <v>123</v>
      </c>
      <c r="F895" t="s">
        <v>64</v>
      </c>
      <c r="G895" t="s">
        <v>124</v>
      </c>
      <c r="H895" t="s">
        <v>66</v>
      </c>
      <c r="I895" t="s">
        <v>67</v>
      </c>
      <c r="J895" t="s">
        <v>56</v>
      </c>
      <c r="K895" t="s">
        <v>60</v>
      </c>
      <c r="L895" t="s">
        <v>30</v>
      </c>
      <c r="M895">
        <v>17</v>
      </c>
      <c r="N895">
        <v>229.99</v>
      </c>
      <c r="O895">
        <v>3909.83</v>
      </c>
      <c r="P895">
        <v>0.05</v>
      </c>
      <c r="Q895">
        <v>195.49</v>
      </c>
      <c r="R895">
        <v>3714.34</v>
      </c>
      <c r="S895">
        <v>297.14999999999998</v>
      </c>
      <c r="T895">
        <v>4011.49</v>
      </c>
      <c r="U895" t="s">
        <v>39</v>
      </c>
    </row>
    <row r="896" spans="1:21" x14ac:dyDescent="0.35">
      <c r="A896" t="s">
        <v>1010</v>
      </c>
      <c r="B896" s="1">
        <v>45838</v>
      </c>
      <c r="C896">
        <v>2025</v>
      </c>
      <c r="D896" t="s">
        <v>51</v>
      </c>
      <c r="E896" t="s">
        <v>52</v>
      </c>
      <c r="F896" t="s">
        <v>24</v>
      </c>
      <c r="G896" t="s">
        <v>53</v>
      </c>
      <c r="H896" t="s">
        <v>54</v>
      </c>
      <c r="I896" t="s">
        <v>55</v>
      </c>
      <c r="J896" t="s">
        <v>56</v>
      </c>
      <c r="K896" t="s">
        <v>60</v>
      </c>
      <c r="L896" t="s">
        <v>73</v>
      </c>
      <c r="M896">
        <v>13</v>
      </c>
      <c r="N896">
        <v>39.99</v>
      </c>
      <c r="O896">
        <v>519.87</v>
      </c>
      <c r="P896">
        <v>0.05</v>
      </c>
      <c r="Q896">
        <v>25.99</v>
      </c>
      <c r="R896">
        <v>493.88</v>
      </c>
      <c r="S896">
        <v>39.51</v>
      </c>
      <c r="T896">
        <v>0</v>
      </c>
      <c r="U896" t="s">
        <v>31</v>
      </c>
    </row>
    <row r="897" spans="1:21" x14ac:dyDescent="0.35">
      <c r="A897" t="s">
        <v>1011</v>
      </c>
      <c r="B897" s="1">
        <v>45841</v>
      </c>
      <c r="C897">
        <v>2025</v>
      </c>
      <c r="D897" t="s">
        <v>148</v>
      </c>
      <c r="E897" t="s">
        <v>149</v>
      </c>
      <c r="F897" t="s">
        <v>43</v>
      </c>
      <c r="G897" t="s">
        <v>150</v>
      </c>
      <c r="H897" t="s">
        <v>45</v>
      </c>
      <c r="I897" t="s">
        <v>46</v>
      </c>
      <c r="J897" t="s">
        <v>47</v>
      </c>
      <c r="K897" t="s">
        <v>37</v>
      </c>
      <c r="L897" t="s">
        <v>38</v>
      </c>
      <c r="M897">
        <v>18</v>
      </c>
      <c r="N897">
        <v>89.99</v>
      </c>
      <c r="O897">
        <v>1619.82</v>
      </c>
      <c r="P897">
        <v>0.13</v>
      </c>
      <c r="Q897">
        <v>210.58</v>
      </c>
      <c r="R897">
        <v>1409.24</v>
      </c>
      <c r="S897">
        <v>112.74</v>
      </c>
      <c r="T897">
        <v>0</v>
      </c>
      <c r="U897" t="s">
        <v>31</v>
      </c>
    </row>
    <row r="898" spans="1:21" x14ac:dyDescent="0.35">
      <c r="A898" t="s">
        <v>1012</v>
      </c>
      <c r="B898" s="1">
        <v>45841</v>
      </c>
      <c r="C898">
        <v>2025</v>
      </c>
      <c r="D898" t="s">
        <v>62</v>
      </c>
      <c r="E898" t="s">
        <v>63</v>
      </c>
      <c r="F898" t="s">
        <v>64</v>
      </c>
      <c r="G898" t="s">
        <v>65</v>
      </c>
      <c r="H898" t="s">
        <v>208</v>
      </c>
      <c r="I898" t="s">
        <v>209</v>
      </c>
      <c r="J898" t="s">
        <v>47</v>
      </c>
      <c r="K898" t="s">
        <v>37</v>
      </c>
      <c r="L898" t="s">
        <v>38</v>
      </c>
      <c r="M898">
        <v>15</v>
      </c>
      <c r="N898">
        <v>49.99</v>
      </c>
      <c r="O898">
        <v>749.85</v>
      </c>
      <c r="P898">
        <v>0.13</v>
      </c>
      <c r="Q898">
        <v>97.48</v>
      </c>
      <c r="R898">
        <v>652.37</v>
      </c>
      <c r="S898">
        <v>52.19</v>
      </c>
      <c r="T898">
        <v>704.56</v>
      </c>
      <c r="U898" t="s">
        <v>39</v>
      </c>
    </row>
    <row r="899" spans="1:21" x14ac:dyDescent="0.35">
      <c r="A899" t="s">
        <v>1013</v>
      </c>
      <c r="B899" s="1">
        <v>45842</v>
      </c>
      <c r="C899">
        <v>2025</v>
      </c>
      <c r="D899" t="s">
        <v>142</v>
      </c>
      <c r="E899" t="s">
        <v>143</v>
      </c>
      <c r="F899" t="s">
        <v>43</v>
      </c>
      <c r="G899" t="s">
        <v>144</v>
      </c>
      <c r="H899" t="s">
        <v>26</v>
      </c>
      <c r="I899" t="s">
        <v>27</v>
      </c>
      <c r="J899" t="s">
        <v>28</v>
      </c>
      <c r="K899" t="s">
        <v>29</v>
      </c>
      <c r="L899" t="s">
        <v>38</v>
      </c>
      <c r="M899">
        <v>27</v>
      </c>
      <c r="N899">
        <v>8.99</v>
      </c>
      <c r="O899">
        <v>242.73</v>
      </c>
      <c r="P899">
        <v>0.16</v>
      </c>
      <c r="Q899">
        <v>38.840000000000003</v>
      </c>
      <c r="R899">
        <v>203.89</v>
      </c>
      <c r="S899">
        <v>16.309999999999999</v>
      </c>
      <c r="T899">
        <v>220.2</v>
      </c>
      <c r="U899" t="s">
        <v>39</v>
      </c>
    </row>
    <row r="900" spans="1:21" x14ac:dyDescent="0.35">
      <c r="A900" t="s">
        <v>1014</v>
      </c>
      <c r="B900" s="1">
        <v>45845</v>
      </c>
      <c r="C900">
        <v>2025</v>
      </c>
      <c r="D900" t="s">
        <v>75</v>
      </c>
      <c r="E900" t="s">
        <v>76</v>
      </c>
      <c r="F900" t="s">
        <v>64</v>
      </c>
      <c r="G900" t="s">
        <v>77</v>
      </c>
      <c r="H900" t="s">
        <v>54</v>
      </c>
      <c r="I900" t="s">
        <v>55</v>
      </c>
      <c r="J900" t="s">
        <v>56</v>
      </c>
      <c r="K900" t="s">
        <v>60</v>
      </c>
      <c r="L900" t="s">
        <v>49</v>
      </c>
      <c r="M900">
        <v>18</v>
      </c>
      <c r="N900">
        <v>39.99</v>
      </c>
      <c r="O900">
        <v>719.82</v>
      </c>
      <c r="P900">
        <v>0.05</v>
      </c>
      <c r="Q900">
        <v>35.99</v>
      </c>
      <c r="R900">
        <v>683.83</v>
      </c>
      <c r="S900">
        <v>54.71</v>
      </c>
      <c r="T900">
        <v>738.54</v>
      </c>
      <c r="U900" t="s">
        <v>39</v>
      </c>
    </row>
    <row r="901" spans="1:21" x14ac:dyDescent="0.35">
      <c r="A901" t="s">
        <v>1015</v>
      </c>
      <c r="B901" s="1">
        <v>45849</v>
      </c>
      <c r="C901">
        <v>2025</v>
      </c>
      <c r="D901" t="s">
        <v>51</v>
      </c>
      <c r="E901" t="s">
        <v>52</v>
      </c>
      <c r="F901" t="s">
        <v>24</v>
      </c>
      <c r="G901" t="s">
        <v>53</v>
      </c>
      <c r="H901" t="s">
        <v>66</v>
      </c>
      <c r="I901" t="s">
        <v>67</v>
      </c>
      <c r="J901" t="s">
        <v>56</v>
      </c>
      <c r="K901" t="s">
        <v>48</v>
      </c>
      <c r="L901" t="s">
        <v>73</v>
      </c>
      <c r="M901">
        <v>18</v>
      </c>
      <c r="N901">
        <v>229.99</v>
      </c>
      <c r="O901">
        <v>4139.82</v>
      </c>
      <c r="P901">
        <v>0.05</v>
      </c>
      <c r="Q901">
        <v>206.99</v>
      </c>
      <c r="R901">
        <v>3932.83</v>
      </c>
      <c r="S901">
        <v>314.63</v>
      </c>
      <c r="T901">
        <v>4247.46</v>
      </c>
      <c r="U901" t="s">
        <v>39</v>
      </c>
    </row>
    <row r="902" spans="1:21" x14ac:dyDescent="0.35">
      <c r="A902" t="s">
        <v>1016</v>
      </c>
      <c r="B902" s="1">
        <v>45852</v>
      </c>
      <c r="C902">
        <v>2025</v>
      </c>
      <c r="D902" t="s">
        <v>97</v>
      </c>
      <c r="E902" t="s">
        <v>98</v>
      </c>
      <c r="F902" t="s">
        <v>35</v>
      </c>
      <c r="G902" t="s">
        <v>99</v>
      </c>
      <c r="H902" t="s">
        <v>128</v>
      </c>
      <c r="I902" t="s">
        <v>129</v>
      </c>
      <c r="J902" t="s">
        <v>47</v>
      </c>
      <c r="K902" t="s">
        <v>68</v>
      </c>
      <c r="L902" t="s">
        <v>69</v>
      </c>
      <c r="M902">
        <v>7</v>
      </c>
      <c r="N902">
        <v>399.99</v>
      </c>
      <c r="O902">
        <v>2799.93</v>
      </c>
      <c r="P902">
        <v>0</v>
      </c>
      <c r="Q902">
        <v>0</v>
      </c>
      <c r="R902">
        <v>2799.93</v>
      </c>
      <c r="S902">
        <v>223.99</v>
      </c>
      <c r="T902">
        <v>3023.92</v>
      </c>
      <c r="U902" t="s">
        <v>111</v>
      </c>
    </row>
    <row r="903" spans="1:21" x14ac:dyDescent="0.35">
      <c r="A903" t="s">
        <v>1017</v>
      </c>
      <c r="B903" s="1">
        <v>45853</v>
      </c>
      <c r="C903">
        <v>2025</v>
      </c>
      <c r="D903" t="s">
        <v>51</v>
      </c>
      <c r="E903" t="s">
        <v>52</v>
      </c>
      <c r="F903" t="s">
        <v>24</v>
      </c>
      <c r="G903" t="s">
        <v>53</v>
      </c>
      <c r="H903" t="s">
        <v>78</v>
      </c>
      <c r="I903" t="s">
        <v>79</v>
      </c>
      <c r="J903" t="s">
        <v>28</v>
      </c>
      <c r="K903" t="s">
        <v>29</v>
      </c>
      <c r="L903" t="s">
        <v>30</v>
      </c>
      <c r="M903">
        <v>28</v>
      </c>
      <c r="N903">
        <v>5.99</v>
      </c>
      <c r="O903">
        <v>167.72</v>
      </c>
      <c r="P903">
        <v>0.08</v>
      </c>
      <c r="Q903">
        <v>13.42</v>
      </c>
      <c r="R903">
        <v>154.30000000000001</v>
      </c>
      <c r="S903">
        <v>12.34</v>
      </c>
      <c r="T903">
        <v>166.64</v>
      </c>
      <c r="U903" t="s">
        <v>39</v>
      </c>
    </row>
    <row r="904" spans="1:21" x14ac:dyDescent="0.35">
      <c r="A904" t="s">
        <v>1018</v>
      </c>
      <c r="B904" s="1">
        <v>45854</v>
      </c>
      <c r="C904">
        <v>2025</v>
      </c>
      <c r="D904" t="s">
        <v>97</v>
      </c>
      <c r="E904" t="s">
        <v>98</v>
      </c>
      <c r="F904" t="s">
        <v>35</v>
      </c>
      <c r="G904" t="s">
        <v>99</v>
      </c>
      <c r="H904" t="s">
        <v>94</v>
      </c>
      <c r="I904" t="s">
        <v>95</v>
      </c>
      <c r="J904" t="s">
        <v>56</v>
      </c>
      <c r="K904" t="s">
        <v>68</v>
      </c>
      <c r="L904" t="s">
        <v>30</v>
      </c>
      <c r="M904">
        <v>24</v>
      </c>
      <c r="N904">
        <v>349.99</v>
      </c>
      <c r="O904">
        <v>8399.76</v>
      </c>
      <c r="P904">
        <v>0.08</v>
      </c>
      <c r="Q904">
        <v>671.98</v>
      </c>
      <c r="R904">
        <v>7727.78</v>
      </c>
      <c r="S904">
        <v>618.22</v>
      </c>
      <c r="T904">
        <v>8346</v>
      </c>
      <c r="U904" t="s">
        <v>39</v>
      </c>
    </row>
    <row r="905" spans="1:21" x14ac:dyDescent="0.35">
      <c r="A905" t="s">
        <v>1019</v>
      </c>
      <c r="B905" s="1">
        <v>45856</v>
      </c>
      <c r="C905">
        <v>2025</v>
      </c>
      <c r="D905" t="s">
        <v>142</v>
      </c>
      <c r="E905" t="s">
        <v>143</v>
      </c>
      <c r="F905" t="s">
        <v>43</v>
      </c>
      <c r="G905" t="s">
        <v>144</v>
      </c>
      <c r="H905" t="s">
        <v>128</v>
      </c>
      <c r="I905" t="s">
        <v>129</v>
      </c>
      <c r="J905" t="s">
        <v>47</v>
      </c>
      <c r="K905" t="s">
        <v>68</v>
      </c>
      <c r="L905" t="s">
        <v>69</v>
      </c>
      <c r="M905">
        <v>21</v>
      </c>
      <c r="N905">
        <v>399.99</v>
      </c>
      <c r="O905">
        <v>8399.7900000000009</v>
      </c>
      <c r="P905">
        <v>0.08</v>
      </c>
      <c r="Q905">
        <v>671.98</v>
      </c>
      <c r="R905">
        <v>7727.81</v>
      </c>
      <c r="S905">
        <v>618.22</v>
      </c>
      <c r="T905">
        <v>0</v>
      </c>
      <c r="U905" t="s">
        <v>31</v>
      </c>
    </row>
    <row r="906" spans="1:21" x14ac:dyDescent="0.35">
      <c r="A906" t="s">
        <v>1020</v>
      </c>
      <c r="B906" s="1">
        <v>45859</v>
      </c>
      <c r="C906">
        <v>2025</v>
      </c>
      <c r="D906" t="s">
        <v>33</v>
      </c>
      <c r="E906" t="s">
        <v>34</v>
      </c>
      <c r="F906" t="s">
        <v>35</v>
      </c>
      <c r="G906" t="s">
        <v>36</v>
      </c>
      <c r="H906" t="s">
        <v>208</v>
      </c>
      <c r="I906" t="s">
        <v>209</v>
      </c>
      <c r="J906" t="s">
        <v>47</v>
      </c>
      <c r="K906" t="s">
        <v>68</v>
      </c>
      <c r="L906" t="s">
        <v>69</v>
      </c>
      <c r="M906">
        <v>20</v>
      </c>
      <c r="N906">
        <v>49.99</v>
      </c>
      <c r="O906">
        <v>999.8</v>
      </c>
      <c r="P906">
        <v>0.08</v>
      </c>
      <c r="Q906">
        <v>79.98</v>
      </c>
      <c r="R906">
        <v>919.82</v>
      </c>
      <c r="S906">
        <v>73.59</v>
      </c>
      <c r="T906">
        <v>0</v>
      </c>
      <c r="U906" t="s">
        <v>31</v>
      </c>
    </row>
    <row r="907" spans="1:21" x14ac:dyDescent="0.35">
      <c r="A907" t="s">
        <v>1021</v>
      </c>
      <c r="B907" s="1">
        <v>45861</v>
      </c>
      <c r="C907">
        <v>2025</v>
      </c>
      <c r="D907" t="s">
        <v>186</v>
      </c>
      <c r="E907" t="s">
        <v>187</v>
      </c>
      <c r="F907" t="s">
        <v>43</v>
      </c>
      <c r="G907" t="s">
        <v>188</v>
      </c>
      <c r="H907" t="s">
        <v>145</v>
      </c>
      <c r="I907" t="s">
        <v>146</v>
      </c>
      <c r="J907" t="s">
        <v>47</v>
      </c>
      <c r="K907" t="s">
        <v>37</v>
      </c>
      <c r="L907" t="s">
        <v>30</v>
      </c>
      <c r="M907">
        <v>22</v>
      </c>
      <c r="N907">
        <v>129.99</v>
      </c>
      <c r="O907">
        <v>2859.78</v>
      </c>
      <c r="P907">
        <v>0.08</v>
      </c>
      <c r="Q907">
        <v>228.78</v>
      </c>
      <c r="R907">
        <v>2631</v>
      </c>
      <c r="S907">
        <v>210.48</v>
      </c>
      <c r="T907">
        <v>2841.48</v>
      </c>
      <c r="U907" t="s">
        <v>39</v>
      </c>
    </row>
    <row r="908" spans="1:21" x14ac:dyDescent="0.35">
      <c r="A908" t="s">
        <v>1022</v>
      </c>
      <c r="B908" s="1">
        <v>45861</v>
      </c>
      <c r="C908">
        <v>2025</v>
      </c>
      <c r="D908" t="s">
        <v>33</v>
      </c>
      <c r="E908" t="s">
        <v>34</v>
      </c>
      <c r="F908" t="s">
        <v>35</v>
      </c>
      <c r="G908" t="s">
        <v>36</v>
      </c>
      <c r="H908" t="s">
        <v>100</v>
      </c>
      <c r="I908" t="s">
        <v>101</v>
      </c>
      <c r="J908" t="s">
        <v>47</v>
      </c>
      <c r="K908" t="s">
        <v>60</v>
      </c>
      <c r="L908" t="s">
        <v>30</v>
      </c>
      <c r="M908">
        <v>1</v>
      </c>
      <c r="N908">
        <v>29.99</v>
      </c>
      <c r="O908">
        <v>29.99</v>
      </c>
      <c r="P908">
        <v>0</v>
      </c>
      <c r="Q908">
        <v>0</v>
      </c>
      <c r="R908">
        <v>29.99</v>
      </c>
      <c r="S908">
        <v>2.4</v>
      </c>
      <c r="T908">
        <v>32.39</v>
      </c>
      <c r="U908" t="s">
        <v>39</v>
      </c>
    </row>
    <row r="909" spans="1:21" x14ac:dyDescent="0.35">
      <c r="A909" t="s">
        <v>1023</v>
      </c>
      <c r="B909" s="1">
        <v>45862</v>
      </c>
      <c r="C909">
        <v>2025</v>
      </c>
      <c r="D909" t="s">
        <v>142</v>
      </c>
      <c r="E909" t="s">
        <v>143</v>
      </c>
      <c r="F909" t="s">
        <v>43</v>
      </c>
      <c r="G909" t="s">
        <v>144</v>
      </c>
      <c r="H909" t="s">
        <v>26</v>
      </c>
      <c r="I909" t="s">
        <v>27</v>
      </c>
      <c r="J909" t="s">
        <v>28</v>
      </c>
      <c r="K909" t="s">
        <v>68</v>
      </c>
      <c r="L909" t="s">
        <v>73</v>
      </c>
      <c r="M909">
        <v>9</v>
      </c>
      <c r="N909">
        <v>8.99</v>
      </c>
      <c r="O909">
        <v>80.91</v>
      </c>
      <c r="P909">
        <v>0</v>
      </c>
      <c r="Q909">
        <v>0</v>
      </c>
      <c r="R909">
        <v>80.91</v>
      </c>
      <c r="S909">
        <v>6.47</v>
      </c>
      <c r="T909">
        <v>87.38</v>
      </c>
      <c r="U909" t="s">
        <v>39</v>
      </c>
    </row>
    <row r="910" spans="1:21" x14ac:dyDescent="0.35">
      <c r="A910" t="s">
        <v>1024</v>
      </c>
      <c r="B910" s="1">
        <v>45862</v>
      </c>
      <c r="C910">
        <v>2025</v>
      </c>
      <c r="D910" t="s">
        <v>91</v>
      </c>
      <c r="E910" t="s">
        <v>92</v>
      </c>
      <c r="F910" t="s">
        <v>24</v>
      </c>
      <c r="G910" t="s">
        <v>93</v>
      </c>
      <c r="H910" t="s">
        <v>54</v>
      </c>
      <c r="I910" t="s">
        <v>55</v>
      </c>
      <c r="J910" t="s">
        <v>56</v>
      </c>
      <c r="K910" t="s">
        <v>37</v>
      </c>
      <c r="L910" t="s">
        <v>73</v>
      </c>
      <c r="M910">
        <v>3</v>
      </c>
      <c r="N910">
        <v>39.99</v>
      </c>
      <c r="O910">
        <v>119.97</v>
      </c>
      <c r="P910">
        <v>0</v>
      </c>
      <c r="Q910">
        <v>0</v>
      </c>
      <c r="R910">
        <v>119.97</v>
      </c>
      <c r="S910">
        <v>9.6</v>
      </c>
      <c r="T910">
        <v>129.57</v>
      </c>
      <c r="U910" t="s">
        <v>39</v>
      </c>
    </row>
    <row r="911" spans="1:21" x14ac:dyDescent="0.35">
      <c r="A911" t="s">
        <v>1025</v>
      </c>
      <c r="B911" s="1">
        <v>45863</v>
      </c>
      <c r="C911">
        <v>2025</v>
      </c>
      <c r="D911" t="s">
        <v>22</v>
      </c>
      <c r="E911" t="s">
        <v>23</v>
      </c>
      <c r="F911" t="s">
        <v>24</v>
      </c>
      <c r="G911" t="s">
        <v>25</v>
      </c>
      <c r="H911" t="s">
        <v>128</v>
      </c>
      <c r="I911" t="s">
        <v>129</v>
      </c>
      <c r="J911" t="s">
        <v>47</v>
      </c>
      <c r="K911" t="s">
        <v>29</v>
      </c>
      <c r="L911" t="s">
        <v>69</v>
      </c>
      <c r="M911">
        <v>17</v>
      </c>
      <c r="N911">
        <v>399.99</v>
      </c>
      <c r="O911">
        <v>6799.83</v>
      </c>
      <c r="P911">
        <v>0.05</v>
      </c>
      <c r="Q911">
        <v>339.99</v>
      </c>
      <c r="R911">
        <v>6459.84</v>
      </c>
      <c r="S911">
        <v>516.79</v>
      </c>
      <c r="T911">
        <v>6976.63</v>
      </c>
      <c r="U911" t="s">
        <v>39</v>
      </c>
    </row>
    <row r="912" spans="1:21" x14ac:dyDescent="0.35">
      <c r="A912" t="s">
        <v>1026</v>
      </c>
      <c r="B912" s="1">
        <v>45865</v>
      </c>
      <c r="C912">
        <v>2025</v>
      </c>
      <c r="D912" t="s">
        <v>51</v>
      </c>
      <c r="E912" t="s">
        <v>52</v>
      </c>
      <c r="F912" t="s">
        <v>24</v>
      </c>
      <c r="G912" t="s">
        <v>53</v>
      </c>
      <c r="H912" t="s">
        <v>125</v>
      </c>
      <c r="I912" t="s">
        <v>126</v>
      </c>
      <c r="J912" t="s">
        <v>28</v>
      </c>
      <c r="K912" t="s">
        <v>60</v>
      </c>
      <c r="L912" t="s">
        <v>38</v>
      </c>
      <c r="M912">
        <v>21</v>
      </c>
      <c r="N912">
        <v>79.989999999999995</v>
      </c>
      <c r="O912">
        <v>1679.79</v>
      </c>
      <c r="P912">
        <v>0.16</v>
      </c>
      <c r="Q912">
        <v>268.77</v>
      </c>
      <c r="R912">
        <v>1411.02</v>
      </c>
      <c r="S912">
        <v>112.88</v>
      </c>
      <c r="T912">
        <v>1523.9</v>
      </c>
      <c r="U912" t="s">
        <v>39</v>
      </c>
    </row>
    <row r="913" spans="1:21" x14ac:dyDescent="0.35">
      <c r="A913" t="s">
        <v>1027</v>
      </c>
      <c r="B913" s="1">
        <v>45867</v>
      </c>
      <c r="C913">
        <v>2025</v>
      </c>
      <c r="D913" t="s">
        <v>87</v>
      </c>
      <c r="E913" t="s">
        <v>88</v>
      </c>
      <c r="F913" t="s">
        <v>24</v>
      </c>
      <c r="G913" t="s">
        <v>89</v>
      </c>
      <c r="H913" t="s">
        <v>66</v>
      </c>
      <c r="I913" t="s">
        <v>67</v>
      </c>
      <c r="J913" t="s">
        <v>56</v>
      </c>
      <c r="K913" t="s">
        <v>29</v>
      </c>
      <c r="L913" t="s">
        <v>30</v>
      </c>
      <c r="M913">
        <v>11</v>
      </c>
      <c r="N913">
        <v>229.99</v>
      </c>
      <c r="O913">
        <v>2529.89</v>
      </c>
      <c r="P913">
        <v>0.05</v>
      </c>
      <c r="Q913">
        <v>126.49</v>
      </c>
      <c r="R913">
        <v>2403.4</v>
      </c>
      <c r="S913">
        <v>192.27</v>
      </c>
      <c r="T913">
        <v>2595.67</v>
      </c>
      <c r="U913" t="s">
        <v>39</v>
      </c>
    </row>
    <row r="914" spans="1:21" x14ac:dyDescent="0.35">
      <c r="A914" t="s">
        <v>1028</v>
      </c>
      <c r="B914" s="1">
        <v>45869</v>
      </c>
      <c r="C914">
        <v>2025</v>
      </c>
      <c r="D914" t="s">
        <v>41</v>
      </c>
      <c r="E914" t="s">
        <v>42</v>
      </c>
      <c r="F914" t="s">
        <v>43</v>
      </c>
      <c r="G914" t="s">
        <v>44</v>
      </c>
      <c r="H914" t="s">
        <v>125</v>
      </c>
      <c r="I914" t="s">
        <v>126</v>
      </c>
      <c r="J914" t="s">
        <v>28</v>
      </c>
      <c r="K914" t="s">
        <v>37</v>
      </c>
      <c r="L914" t="s">
        <v>30</v>
      </c>
      <c r="M914">
        <v>15</v>
      </c>
      <c r="N914">
        <v>79.989999999999995</v>
      </c>
      <c r="O914">
        <v>1199.8499999999999</v>
      </c>
      <c r="P914">
        <v>0.05</v>
      </c>
      <c r="Q914">
        <v>59.99</v>
      </c>
      <c r="R914">
        <v>1139.8599999999999</v>
      </c>
      <c r="S914">
        <v>91.19</v>
      </c>
      <c r="T914">
        <v>0</v>
      </c>
      <c r="U914" t="s">
        <v>31</v>
      </c>
    </row>
    <row r="915" spans="1:21" x14ac:dyDescent="0.35">
      <c r="A915" t="s">
        <v>1029</v>
      </c>
      <c r="B915" s="1">
        <v>45871</v>
      </c>
      <c r="C915">
        <v>2025</v>
      </c>
      <c r="D915" t="s">
        <v>87</v>
      </c>
      <c r="E915" t="s">
        <v>88</v>
      </c>
      <c r="F915" t="s">
        <v>24</v>
      </c>
      <c r="G915" t="s">
        <v>89</v>
      </c>
      <c r="H915" t="s">
        <v>94</v>
      </c>
      <c r="I915" t="s">
        <v>95</v>
      </c>
      <c r="J915" t="s">
        <v>56</v>
      </c>
      <c r="K915" t="s">
        <v>37</v>
      </c>
      <c r="L915" t="s">
        <v>69</v>
      </c>
      <c r="M915">
        <v>13</v>
      </c>
      <c r="N915">
        <v>349.99</v>
      </c>
      <c r="O915">
        <v>4549.87</v>
      </c>
      <c r="P915">
        <v>0.05</v>
      </c>
      <c r="Q915">
        <v>227.49</v>
      </c>
      <c r="R915">
        <v>4322.38</v>
      </c>
      <c r="S915">
        <v>345.79</v>
      </c>
      <c r="T915">
        <v>4668.17</v>
      </c>
      <c r="U915" t="s">
        <v>39</v>
      </c>
    </row>
    <row r="916" spans="1:21" x14ac:dyDescent="0.35">
      <c r="A916" t="s">
        <v>1030</v>
      </c>
      <c r="B916" s="1">
        <v>45872</v>
      </c>
      <c r="C916">
        <v>2025</v>
      </c>
      <c r="D916" t="s">
        <v>97</v>
      </c>
      <c r="E916" t="s">
        <v>98</v>
      </c>
      <c r="F916" t="s">
        <v>35</v>
      </c>
      <c r="G916" t="s">
        <v>99</v>
      </c>
      <c r="H916" t="s">
        <v>26</v>
      </c>
      <c r="I916" t="s">
        <v>27</v>
      </c>
      <c r="J916" t="s">
        <v>28</v>
      </c>
      <c r="K916" t="s">
        <v>29</v>
      </c>
      <c r="L916" t="s">
        <v>38</v>
      </c>
      <c r="M916">
        <v>7</v>
      </c>
      <c r="N916">
        <v>8.99</v>
      </c>
      <c r="O916">
        <v>62.93</v>
      </c>
      <c r="P916">
        <v>0.08</v>
      </c>
      <c r="Q916">
        <v>5.03</v>
      </c>
      <c r="R916">
        <v>57.9</v>
      </c>
      <c r="S916">
        <v>4.63</v>
      </c>
      <c r="T916">
        <v>62.53</v>
      </c>
      <c r="U916" t="s">
        <v>39</v>
      </c>
    </row>
    <row r="917" spans="1:21" x14ac:dyDescent="0.35">
      <c r="A917" t="s">
        <v>1031</v>
      </c>
      <c r="B917" s="1">
        <v>45873</v>
      </c>
      <c r="C917">
        <v>2025</v>
      </c>
      <c r="D917" t="s">
        <v>75</v>
      </c>
      <c r="E917" t="s">
        <v>76</v>
      </c>
      <c r="F917" t="s">
        <v>64</v>
      </c>
      <c r="G917" t="s">
        <v>77</v>
      </c>
      <c r="H917" t="s">
        <v>94</v>
      </c>
      <c r="I917" t="s">
        <v>95</v>
      </c>
      <c r="J917" t="s">
        <v>56</v>
      </c>
      <c r="K917" t="s">
        <v>29</v>
      </c>
      <c r="L917" t="s">
        <v>38</v>
      </c>
      <c r="M917">
        <v>6</v>
      </c>
      <c r="N917">
        <v>349.99</v>
      </c>
      <c r="O917">
        <v>2099.94</v>
      </c>
      <c r="P917">
        <v>0.08</v>
      </c>
      <c r="Q917">
        <v>168</v>
      </c>
      <c r="R917">
        <v>1931.94</v>
      </c>
      <c r="S917">
        <v>154.56</v>
      </c>
      <c r="T917">
        <v>2086.5</v>
      </c>
      <c r="U917" t="s">
        <v>39</v>
      </c>
    </row>
    <row r="918" spans="1:21" x14ac:dyDescent="0.35">
      <c r="A918" t="s">
        <v>1032</v>
      </c>
      <c r="B918" s="1">
        <v>45877</v>
      </c>
      <c r="C918">
        <v>2025</v>
      </c>
      <c r="D918" t="s">
        <v>122</v>
      </c>
      <c r="E918" t="s">
        <v>123</v>
      </c>
      <c r="F918" t="s">
        <v>64</v>
      </c>
      <c r="G918" t="s">
        <v>124</v>
      </c>
      <c r="H918" t="s">
        <v>54</v>
      </c>
      <c r="I918" t="s">
        <v>55</v>
      </c>
      <c r="J918" t="s">
        <v>56</v>
      </c>
      <c r="K918" t="s">
        <v>37</v>
      </c>
      <c r="L918" t="s">
        <v>69</v>
      </c>
      <c r="M918">
        <v>17</v>
      </c>
      <c r="N918">
        <v>39.99</v>
      </c>
      <c r="O918">
        <v>679.83</v>
      </c>
      <c r="P918">
        <v>0.05</v>
      </c>
      <c r="Q918">
        <v>33.99</v>
      </c>
      <c r="R918">
        <v>645.84</v>
      </c>
      <c r="S918">
        <v>51.67</v>
      </c>
      <c r="T918">
        <v>697.51</v>
      </c>
      <c r="U918" t="s">
        <v>111</v>
      </c>
    </row>
    <row r="919" spans="1:21" x14ac:dyDescent="0.35">
      <c r="A919" t="s">
        <v>1033</v>
      </c>
      <c r="B919" s="1">
        <v>45878</v>
      </c>
      <c r="C919">
        <v>2025</v>
      </c>
      <c r="D919" t="s">
        <v>186</v>
      </c>
      <c r="E919" t="s">
        <v>187</v>
      </c>
      <c r="F919" t="s">
        <v>43</v>
      </c>
      <c r="G919" t="s">
        <v>188</v>
      </c>
      <c r="H919" t="s">
        <v>125</v>
      </c>
      <c r="I919" t="s">
        <v>126</v>
      </c>
      <c r="J919" t="s">
        <v>28</v>
      </c>
      <c r="K919" t="s">
        <v>48</v>
      </c>
      <c r="L919" t="s">
        <v>69</v>
      </c>
      <c r="M919">
        <v>21</v>
      </c>
      <c r="N919">
        <v>79.989999999999995</v>
      </c>
      <c r="O919">
        <v>1679.79</v>
      </c>
      <c r="P919">
        <v>0.08</v>
      </c>
      <c r="Q919">
        <v>134.38</v>
      </c>
      <c r="R919">
        <v>1545.41</v>
      </c>
      <c r="S919">
        <v>123.63</v>
      </c>
      <c r="T919">
        <v>1669.04</v>
      </c>
      <c r="U919" t="s">
        <v>111</v>
      </c>
    </row>
    <row r="920" spans="1:21" x14ac:dyDescent="0.35">
      <c r="A920" t="s">
        <v>1034</v>
      </c>
      <c r="B920" s="1">
        <v>45878</v>
      </c>
      <c r="C920">
        <v>2025</v>
      </c>
      <c r="D920" t="s">
        <v>91</v>
      </c>
      <c r="E920" t="s">
        <v>92</v>
      </c>
      <c r="F920" t="s">
        <v>24</v>
      </c>
      <c r="G920" t="s">
        <v>93</v>
      </c>
      <c r="H920" t="s">
        <v>54</v>
      </c>
      <c r="I920" t="s">
        <v>55</v>
      </c>
      <c r="J920" t="s">
        <v>56</v>
      </c>
      <c r="K920" t="s">
        <v>60</v>
      </c>
      <c r="L920" t="s">
        <v>38</v>
      </c>
      <c r="M920">
        <v>1</v>
      </c>
      <c r="N920">
        <v>39.99</v>
      </c>
      <c r="O920">
        <v>39.99</v>
      </c>
      <c r="P920">
        <v>0.08</v>
      </c>
      <c r="Q920">
        <v>3.2</v>
      </c>
      <c r="R920">
        <v>36.79</v>
      </c>
      <c r="S920">
        <v>2.94</v>
      </c>
      <c r="T920">
        <v>39.729999999999997</v>
      </c>
      <c r="U920" t="s">
        <v>39</v>
      </c>
    </row>
    <row r="921" spans="1:21" x14ac:dyDescent="0.35">
      <c r="A921" t="s">
        <v>1035</v>
      </c>
      <c r="B921" s="1">
        <v>45882</v>
      </c>
      <c r="C921">
        <v>2025</v>
      </c>
      <c r="D921" t="s">
        <v>62</v>
      </c>
      <c r="E921" t="s">
        <v>63</v>
      </c>
      <c r="F921" t="s">
        <v>64</v>
      </c>
      <c r="G921" t="s">
        <v>65</v>
      </c>
      <c r="H921" t="s">
        <v>66</v>
      </c>
      <c r="I921" t="s">
        <v>67</v>
      </c>
      <c r="J921" t="s">
        <v>56</v>
      </c>
      <c r="K921" t="s">
        <v>37</v>
      </c>
      <c r="L921" t="s">
        <v>30</v>
      </c>
      <c r="M921">
        <v>10</v>
      </c>
      <c r="N921">
        <v>229.99</v>
      </c>
      <c r="O921">
        <v>2299.9</v>
      </c>
      <c r="P921">
        <v>0.05</v>
      </c>
      <c r="Q921">
        <v>115</v>
      </c>
      <c r="R921">
        <v>2184.9</v>
      </c>
      <c r="S921">
        <v>174.79</v>
      </c>
      <c r="T921">
        <v>2359.69</v>
      </c>
      <c r="U921" t="s">
        <v>39</v>
      </c>
    </row>
    <row r="922" spans="1:21" x14ac:dyDescent="0.35">
      <c r="A922" t="s">
        <v>1036</v>
      </c>
      <c r="B922" s="1">
        <v>45882</v>
      </c>
      <c r="C922">
        <v>2025</v>
      </c>
      <c r="D922" t="s">
        <v>33</v>
      </c>
      <c r="E922" t="s">
        <v>34</v>
      </c>
      <c r="F922" t="s">
        <v>35</v>
      </c>
      <c r="G922" t="s">
        <v>36</v>
      </c>
      <c r="H922" t="s">
        <v>208</v>
      </c>
      <c r="I922" t="s">
        <v>209</v>
      </c>
      <c r="J922" t="s">
        <v>47</v>
      </c>
      <c r="K922" t="s">
        <v>37</v>
      </c>
      <c r="L922" t="s">
        <v>49</v>
      </c>
      <c r="M922">
        <v>23</v>
      </c>
      <c r="N922">
        <v>49.99</v>
      </c>
      <c r="O922">
        <v>1149.77</v>
      </c>
      <c r="P922">
        <v>0.08</v>
      </c>
      <c r="Q922">
        <v>91.98</v>
      </c>
      <c r="R922">
        <v>1057.79</v>
      </c>
      <c r="S922">
        <v>84.62</v>
      </c>
      <c r="T922">
        <v>1142.4100000000001</v>
      </c>
      <c r="U922" t="s">
        <v>39</v>
      </c>
    </row>
    <row r="923" spans="1:21" x14ac:dyDescent="0.35">
      <c r="A923" t="s">
        <v>1037</v>
      </c>
      <c r="B923" s="1">
        <v>45886</v>
      </c>
      <c r="C923">
        <v>2025</v>
      </c>
      <c r="D923" t="s">
        <v>148</v>
      </c>
      <c r="E923" t="s">
        <v>149</v>
      </c>
      <c r="F923" t="s">
        <v>43</v>
      </c>
      <c r="G923" t="s">
        <v>150</v>
      </c>
      <c r="H923" t="s">
        <v>54</v>
      </c>
      <c r="I923" t="s">
        <v>55</v>
      </c>
      <c r="J923" t="s">
        <v>56</v>
      </c>
      <c r="K923" t="s">
        <v>68</v>
      </c>
      <c r="L923" t="s">
        <v>69</v>
      </c>
      <c r="M923">
        <v>12</v>
      </c>
      <c r="N923">
        <v>39.99</v>
      </c>
      <c r="O923">
        <v>479.88</v>
      </c>
      <c r="P923">
        <v>0.05</v>
      </c>
      <c r="Q923">
        <v>23.99</v>
      </c>
      <c r="R923">
        <v>455.89</v>
      </c>
      <c r="S923">
        <v>36.47</v>
      </c>
      <c r="T923">
        <v>492.36</v>
      </c>
      <c r="U923" t="s">
        <v>111</v>
      </c>
    </row>
    <row r="924" spans="1:21" x14ac:dyDescent="0.35">
      <c r="A924" t="s">
        <v>1038</v>
      </c>
      <c r="B924" s="1">
        <v>45886</v>
      </c>
      <c r="C924">
        <v>2025</v>
      </c>
      <c r="D924" t="s">
        <v>22</v>
      </c>
      <c r="E924" t="s">
        <v>23</v>
      </c>
      <c r="F924" t="s">
        <v>24</v>
      </c>
      <c r="G924" t="s">
        <v>25</v>
      </c>
      <c r="H924" t="s">
        <v>104</v>
      </c>
      <c r="I924" t="s">
        <v>105</v>
      </c>
      <c r="J924" t="s">
        <v>47</v>
      </c>
      <c r="K924" t="s">
        <v>48</v>
      </c>
      <c r="L924" t="s">
        <v>73</v>
      </c>
      <c r="M924">
        <v>5</v>
      </c>
      <c r="N924">
        <v>479.99</v>
      </c>
      <c r="O924">
        <v>2399.9499999999998</v>
      </c>
      <c r="P924">
        <v>0</v>
      </c>
      <c r="Q924">
        <v>0</v>
      </c>
      <c r="R924">
        <v>2399.9499999999998</v>
      </c>
      <c r="S924">
        <v>192</v>
      </c>
      <c r="T924">
        <v>0</v>
      </c>
      <c r="U924" t="s">
        <v>31</v>
      </c>
    </row>
    <row r="925" spans="1:21" x14ac:dyDescent="0.35">
      <c r="A925" t="s">
        <v>1039</v>
      </c>
      <c r="B925" s="1">
        <v>45888</v>
      </c>
      <c r="C925">
        <v>2025</v>
      </c>
      <c r="D925" t="s">
        <v>22</v>
      </c>
      <c r="E925" t="s">
        <v>23</v>
      </c>
      <c r="F925" t="s">
        <v>24</v>
      </c>
      <c r="G925" t="s">
        <v>25</v>
      </c>
      <c r="H925" t="s">
        <v>78</v>
      </c>
      <c r="I925" t="s">
        <v>79</v>
      </c>
      <c r="J925" t="s">
        <v>28</v>
      </c>
      <c r="K925" t="s">
        <v>37</v>
      </c>
      <c r="L925" t="s">
        <v>49</v>
      </c>
      <c r="M925">
        <v>9</v>
      </c>
      <c r="N925">
        <v>5.99</v>
      </c>
      <c r="O925">
        <v>53.91</v>
      </c>
      <c r="P925">
        <v>0</v>
      </c>
      <c r="Q925">
        <v>0</v>
      </c>
      <c r="R925">
        <v>53.91</v>
      </c>
      <c r="S925">
        <v>4.3099999999999996</v>
      </c>
      <c r="T925">
        <v>58.22</v>
      </c>
      <c r="U925" t="s">
        <v>39</v>
      </c>
    </row>
    <row r="926" spans="1:21" x14ac:dyDescent="0.35">
      <c r="A926" t="s">
        <v>1040</v>
      </c>
      <c r="B926" s="1">
        <v>45890</v>
      </c>
      <c r="C926">
        <v>2025</v>
      </c>
      <c r="D926" t="s">
        <v>87</v>
      </c>
      <c r="E926" t="s">
        <v>88</v>
      </c>
      <c r="F926" t="s">
        <v>24</v>
      </c>
      <c r="G926" t="s">
        <v>89</v>
      </c>
      <c r="H926" t="s">
        <v>94</v>
      </c>
      <c r="I926" t="s">
        <v>95</v>
      </c>
      <c r="J926" t="s">
        <v>56</v>
      </c>
      <c r="K926" t="s">
        <v>37</v>
      </c>
      <c r="L926" t="s">
        <v>38</v>
      </c>
      <c r="M926">
        <v>30</v>
      </c>
      <c r="N926">
        <v>349.99</v>
      </c>
      <c r="O926">
        <v>10499.7</v>
      </c>
      <c r="P926">
        <v>0.16</v>
      </c>
      <c r="Q926">
        <v>1679.95</v>
      </c>
      <c r="R926">
        <v>8819.75</v>
      </c>
      <c r="S926">
        <v>705.58</v>
      </c>
      <c r="T926">
        <v>9525.33</v>
      </c>
      <c r="U926" t="s">
        <v>39</v>
      </c>
    </row>
    <row r="927" spans="1:21" x14ac:dyDescent="0.35">
      <c r="A927" t="s">
        <v>1041</v>
      </c>
      <c r="B927" s="1">
        <v>45895</v>
      </c>
      <c r="C927">
        <v>2025</v>
      </c>
      <c r="D927" t="s">
        <v>97</v>
      </c>
      <c r="E927" t="s">
        <v>98</v>
      </c>
      <c r="F927" t="s">
        <v>35</v>
      </c>
      <c r="G927" t="s">
        <v>99</v>
      </c>
      <c r="H927" t="s">
        <v>94</v>
      </c>
      <c r="I927" t="s">
        <v>95</v>
      </c>
      <c r="J927" t="s">
        <v>56</v>
      </c>
      <c r="K927" t="s">
        <v>60</v>
      </c>
      <c r="L927" t="s">
        <v>49</v>
      </c>
      <c r="M927">
        <v>12</v>
      </c>
      <c r="N927">
        <v>349.99</v>
      </c>
      <c r="O927">
        <v>4199.88</v>
      </c>
      <c r="P927">
        <v>0.05</v>
      </c>
      <c r="Q927">
        <v>209.99</v>
      </c>
      <c r="R927">
        <v>3989.89</v>
      </c>
      <c r="S927">
        <v>319.19</v>
      </c>
      <c r="T927">
        <v>4309.08</v>
      </c>
      <c r="U927" t="s">
        <v>39</v>
      </c>
    </row>
    <row r="928" spans="1:21" x14ac:dyDescent="0.35">
      <c r="A928" t="s">
        <v>1042</v>
      </c>
      <c r="B928" s="1">
        <v>45898</v>
      </c>
      <c r="C928">
        <v>2025</v>
      </c>
      <c r="D928" t="s">
        <v>91</v>
      </c>
      <c r="E928" t="s">
        <v>92</v>
      </c>
      <c r="F928" t="s">
        <v>24</v>
      </c>
      <c r="G928" t="s">
        <v>93</v>
      </c>
      <c r="H928" t="s">
        <v>71</v>
      </c>
      <c r="I928" t="s">
        <v>72</v>
      </c>
      <c r="J928" t="s">
        <v>47</v>
      </c>
      <c r="K928" t="s">
        <v>48</v>
      </c>
      <c r="L928" t="s">
        <v>73</v>
      </c>
      <c r="M928">
        <v>10</v>
      </c>
      <c r="N928">
        <v>1199.99</v>
      </c>
      <c r="O928">
        <v>11999.9</v>
      </c>
      <c r="P928">
        <v>0.05</v>
      </c>
      <c r="Q928">
        <v>600</v>
      </c>
      <c r="R928">
        <v>11399.9</v>
      </c>
      <c r="S928">
        <v>911.99</v>
      </c>
      <c r="T928">
        <v>12311.89</v>
      </c>
      <c r="U928" t="s">
        <v>39</v>
      </c>
    </row>
    <row r="929" spans="1:21" x14ac:dyDescent="0.35">
      <c r="A929" t="s">
        <v>1043</v>
      </c>
      <c r="B929" s="1">
        <v>45899</v>
      </c>
      <c r="C929">
        <v>2025</v>
      </c>
      <c r="D929" t="s">
        <v>51</v>
      </c>
      <c r="E929" t="s">
        <v>52</v>
      </c>
      <c r="F929" t="s">
        <v>24</v>
      </c>
      <c r="G929" t="s">
        <v>53</v>
      </c>
      <c r="H929" t="s">
        <v>104</v>
      </c>
      <c r="I929" t="s">
        <v>105</v>
      </c>
      <c r="J929" t="s">
        <v>47</v>
      </c>
      <c r="K929" t="s">
        <v>68</v>
      </c>
      <c r="L929" t="s">
        <v>73</v>
      </c>
      <c r="M929">
        <v>20</v>
      </c>
      <c r="N929">
        <v>479.99</v>
      </c>
      <c r="O929">
        <v>9599.7999999999993</v>
      </c>
      <c r="P929">
        <v>0.08</v>
      </c>
      <c r="Q929">
        <v>767.98</v>
      </c>
      <c r="R929">
        <v>8831.82</v>
      </c>
      <c r="S929">
        <v>706.55</v>
      </c>
      <c r="T929">
        <v>9538.3700000000008</v>
      </c>
      <c r="U929" t="s">
        <v>39</v>
      </c>
    </row>
    <row r="930" spans="1:21" x14ac:dyDescent="0.35">
      <c r="A930" t="s">
        <v>1044</v>
      </c>
      <c r="B930" s="1">
        <v>45900</v>
      </c>
      <c r="C930">
        <v>2025</v>
      </c>
      <c r="D930" t="s">
        <v>81</v>
      </c>
      <c r="E930" t="s">
        <v>82</v>
      </c>
      <c r="F930" t="s">
        <v>35</v>
      </c>
      <c r="G930" t="s">
        <v>83</v>
      </c>
      <c r="H930" t="s">
        <v>128</v>
      </c>
      <c r="I930" t="s">
        <v>129</v>
      </c>
      <c r="J930" t="s">
        <v>47</v>
      </c>
      <c r="K930" t="s">
        <v>68</v>
      </c>
      <c r="L930" t="s">
        <v>30</v>
      </c>
      <c r="M930">
        <v>7</v>
      </c>
      <c r="N930">
        <v>399.99</v>
      </c>
      <c r="O930">
        <v>2799.93</v>
      </c>
      <c r="P930">
        <v>0</v>
      </c>
      <c r="Q930">
        <v>0</v>
      </c>
      <c r="R930">
        <v>2799.93</v>
      </c>
      <c r="S930">
        <v>223.99</v>
      </c>
      <c r="T930">
        <v>3023.92</v>
      </c>
      <c r="U930" t="s">
        <v>111</v>
      </c>
    </row>
    <row r="931" spans="1:21" x14ac:dyDescent="0.35">
      <c r="A931" t="s">
        <v>1045</v>
      </c>
      <c r="B931" s="1">
        <v>45901</v>
      </c>
      <c r="C931">
        <v>2025</v>
      </c>
      <c r="D931" t="s">
        <v>97</v>
      </c>
      <c r="E931" t="s">
        <v>98</v>
      </c>
      <c r="F931" t="s">
        <v>35</v>
      </c>
      <c r="G931" t="s">
        <v>99</v>
      </c>
      <c r="H931" t="s">
        <v>26</v>
      </c>
      <c r="I931" t="s">
        <v>27</v>
      </c>
      <c r="J931" t="s">
        <v>28</v>
      </c>
      <c r="K931" t="s">
        <v>37</v>
      </c>
      <c r="L931" t="s">
        <v>73</v>
      </c>
      <c r="M931">
        <v>17</v>
      </c>
      <c r="N931">
        <v>8.99</v>
      </c>
      <c r="O931">
        <v>152.83000000000001</v>
      </c>
      <c r="P931">
        <v>0.05</v>
      </c>
      <c r="Q931">
        <v>7.64</v>
      </c>
      <c r="R931">
        <v>145.19</v>
      </c>
      <c r="S931">
        <v>11.62</v>
      </c>
      <c r="T931">
        <v>0</v>
      </c>
      <c r="U931" t="s">
        <v>31</v>
      </c>
    </row>
    <row r="932" spans="1:21" x14ac:dyDescent="0.35">
      <c r="A932" t="s">
        <v>1046</v>
      </c>
      <c r="B932" s="1">
        <v>45904</v>
      </c>
      <c r="C932">
        <v>2025</v>
      </c>
      <c r="D932" t="s">
        <v>107</v>
      </c>
      <c r="E932" t="s">
        <v>108</v>
      </c>
      <c r="F932" t="s">
        <v>35</v>
      </c>
      <c r="G932" t="s">
        <v>109</v>
      </c>
      <c r="H932" t="s">
        <v>78</v>
      </c>
      <c r="I932" t="s">
        <v>79</v>
      </c>
      <c r="J932" t="s">
        <v>28</v>
      </c>
      <c r="K932" t="s">
        <v>48</v>
      </c>
      <c r="L932" t="s">
        <v>30</v>
      </c>
      <c r="M932">
        <v>9</v>
      </c>
      <c r="N932">
        <v>5.99</v>
      </c>
      <c r="O932">
        <v>53.91</v>
      </c>
      <c r="P932">
        <v>0</v>
      </c>
      <c r="Q932">
        <v>0</v>
      </c>
      <c r="R932">
        <v>53.91</v>
      </c>
      <c r="S932">
        <v>4.3099999999999996</v>
      </c>
      <c r="T932">
        <v>58.22</v>
      </c>
      <c r="U932" t="s">
        <v>39</v>
      </c>
    </row>
    <row r="933" spans="1:21" x14ac:dyDescent="0.35">
      <c r="A933" t="s">
        <v>1047</v>
      </c>
      <c r="B933" s="1">
        <v>45906</v>
      </c>
      <c r="C933">
        <v>2025</v>
      </c>
      <c r="D933" t="s">
        <v>51</v>
      </c>
      <c r="E933" t="s">
        <v>52</v>
      </c>
      <c r="F933" t="s">
        <v>24</v>
      </c>
      <c r="G933" t="s">
        <v>53</v>
      </c>
      <c r="H933" t="s">
        <v>100</v>
      </c>
      <c r="I933" t="s">
        <v>101</v>
      </c>
      <c r="J933" t="s">
        <v>47</v>
      </c>
      <c r="K933" t="s">
        <v>48</v>
      </c>
      <c r="L933" t="s">
        <v>69</v>
      </c>
      <c r="M933">
        <v>11</v>
      </c>
      <c r="N933">
        <v>29.99</v>
      </c>
      <c r="O933">
        <v>329.89</v>
      </c>
      <c r="P933">
        <v>0.05</v>
      </c>
      <c r="Q933">
        <v>16.489999999999998</v>
      </c>
      <c r="R933">
        <v>313.39999999999998</v>
      </c>
      <c r="S933">
        <v>25.07</v>
      </c>
      <c r="T933">
        <v>338.47</v>
      </c>
      <c r="U933" t="s">
        <v>39</v>
      </c>
    </row>
    <row r="934" spans="1:21" x14ac:dyDescent="0.35">
      <c r="A934" t="s">
        <v>1048</v>
      </c>
      <c r="B934" s="1">
        <v>45907</v>
      </c>
      <c r="C934">
        <v>2025</v>
      </c>
      <c r="D934" t="s">
        <v>81</v>
      </c>
      <c r="E934" t="s">
        <v>82</v>
      </c>
      <c r="F934" t="s">
        <v>35</v>
      </c>
      <c r="G934" t="s">
        <v>83</v>
      </c>
      <c r="H934" t="s">
        <v>78</v>
      </c>
      <c r="I934" t="s">
        <v>79</v>
      </c>
      <c r="J934" t="s">
        <v>28</v>
      </c>
      <c r="K934" t="s">
        <v>60</v>
      </c>
      <c r="L934" t="s">
        <v>49</v>
      </c>
      <c r="M934">
        <v>8</v>
      </c>
      <c r="N934">
        <v>5.99</v>
      </c>
      <c r="O934">
        <v>47.92</v>
      </c>
      <c r="P934">
        <v>0</v>
      </c>
      <c r="Q934">
        <v>0</v>
      </c>
      <c r="R934">
        <v>47.92</v>
      </c>
      <c r="S934">
        <v>3.83</v>
      </c>
      <c r="T934">
        <v>51.75</v>
      </c>
      <c r="U934" t="s">
        <v>39</v>
      </c>
    </row>
    <row r="935" spans="1:21" x14ac:dyDescent="0.35">
      <c r="A935" t="s">
        <v>1049</v>
      </c>
      <c r="B935" s="1">
        <v>45907</v>
      </c>
      <c r="C935">
        <v>2025</v>
      </c>
      <c r="D935" t="s">
        <v>75</v>
      </c>
      <c r="E935" t="s">
        <v>76</v>
      </c>
      <c r="F935" t="s">
        <v>64</v>
      </c>
      <c r="G935" t="s">
        <v>77</v>
      </c>
      <c r="H935" t="s">
        <v>128</v>
      </c>
      <c r="I935" t="s">
        <v>129</v>
      </c>
      <c r="J935" t="s">
        <v>47</v>
      </c>
      <c r="K935" t="s">
        <v>48</v>
      </c>
      <c r="L935" t="s">
        <v>30</v>
      </c>
      <c r="M935">
        <v>11</v>
      </c>
      <c r="N935">
        <v>399.99</v>
      </c>
      <c r="O935">
        <v>4399.8900000000003</v>
      </c>
      <c r="P935">
        <v>0.05</v>
      </c>
      <c r="Q935">
        <v>219.99</v>
      </c>
      <c r="R935">
        <v>4179.8999999999996</v>
      </c>
      <c r="S935">
        <v>334.39</v>
      </c>
      <c r="T935">
        <v>4514.29</v>
      </c>
      <c r="U935" t="s">
        <v>111</v>
      </c>
    </row>
    <row r="936" spans="1:21" x14ac:dyDescent="0.35">
      <c r="A936" t="s">
        <v>1050</v>
      </c>
      <c r="B936" s="1">
        <v>45909</v>
      </c>
      <c r="C936">
        <v>2025</v>
      </c>
      <c r="D936" t="s">
        <v>186</v>
      </c>
      <c r="E936" t="s">
        <v>187</v>
      </c>
      <c r="F936" t="s">
        <v>43</v>
      </c>
      <c r="G936" t="s">
        <v>188</v>
      </c>
      <c r="H936" t="s">
        <v>128</v>
      </c>
      <c r="I936" t="s">
        <v>129</v>
      </c>
      <c r="J936" t="s">
        <v>47</v>
      </c>
      <c r="K936" t="s">
        <v>60</v>
      </c>
      <c r="L936" t="s">
        <v>49</v>
      </c>
      <c r="M936">
        <v>20</v>
      </c>
      <c r="N936">
        <v>399.99</v>
      </c>
      <c r="O936">
        <v>7999.8</v>
      </c>
      <c r="P936">
        <v>0.08</v>
      </c>
      <c r="Q936">
        <v>639.98</v>
      </c>
      <c r="R936">
        <v>7359.82</v>
      </c>
      <c r="S936">
        <v>588.79</v>
      </c>
      <c r="T936">
        <v>7948.61</v>
      </c>
      <c r="U936" t="s">
        <v>111</v>
      </c>
    </row>
    <row r="937" spans="1:21" x14ac:dyDescent="0.35">
      <c r="A937" t="s">
        <v>1051</v>
      </c>
      <c r="B937" s="1">
        <v>45910</v>
      </c>
      <c r="C937">
        <v>2025</v>
      </c>
      <c r="D937" t="s">
        <v>148</v>
      </c>
      <c r="E937" t="s">
        <v>149</v>
      </c>
      <c r="F937" t="s">
        <v>43</v>
      </c>
      <c r="G937" t="s">
        <v>150</v>
      </c>
      <c r="H937" t="s">
        <v>71</v>
      </c>
      <c r="I937" t="s">
        <v>72</v>
      </c>
      <c r="J937" t="s">
        <v>47</v>
      </c>
      <c r="K937" t="s">
        <v>60</v>
      </c>
      <c r="L937" t="s">
        <v>49</v>
      </c>
      <c r="M937">
        <v>11</v>
      </c>
      <c r="N937">
        <v>1199.99</v>
      </c>
      <c r="O937">
        <v>13199.89</v>
      </c>
      <c r="P937">
        <v>0.05</v>
      </c>
      <c r="Q937">
        <v>659.99</v>
      </c>
      <c r="R937">
        <v>12539.9</v>
      </c>
      <c r="S937">
        <v>1003.19</v>
      </c>
      <c r="T937">
        <v>0</v>
      </c>
      <c r="U937" t="s">
        <v>31</v>
      </c>
    </row>
    <row r="938" spans="1:21" x14ac:dyDescent="0.35">
      <c r="A938" t="s">
        <v>1052</v>
      </c>
      <c r="B938" s="1">
        <v>45910</v>
      </c>
      <c r="C938">
        <v>2025</v>
      </c>
      <c r="D938" t="s">
        <v>91</v>
      </c>
      <c r="E938" t="s">
        <v>92</v>
      </c>
      <c r="F938" t="s">
        <v>24</v>
      </c>
      <c r="G938" t="s">
        <v>93</v>
      </c>
      <c r="H938" t="s">
        <v>78</v>
      </c>
      <c r="I938" t="s">
        <v>79</v>
      </c>
      <c r="J938" t="s">
        <v>28</v>
      </c>
      <c r="K938" t="s">
        <v>29</v>
      </c>
      <c r="L938" t="s">
        <v>69</v>
      </c>
      <c r="M938">
        <v>1</v>
      </c>
      <c r="N938">
        <v>5.99</v>
      </c>
      <c r="O938">
        <v>5.99</v>
      </c>
      <c r="P938">
        <v>0</v>
      </c>
      <c r="Q938">
        <v>0</v>
      </c>
      <c r="R938">
        <v>5.99</v>
      </c>
      <c r="S938">
        <v>0.48</v>
      </c>
      <c r="T938">
        <v>6.47</v>
      </c>
      <c r="U938" t="s">
        <v>39</v>
      </c>
    </row>
    <row r="939" spans="1:21" x14ac:dyDescent="0.35">
      <c r="A939" t="s">
        <v>1053</v>
      </c>
      <c r="B939" s="1">
        <v>45912</v>
      </c>
      <c r="C939">
        <v>2025</v>
      </c>
      <c r="D939" t="s">
        <v>87</v>
      </c>
      <c r="E939" t="s">
        <v>88</v>
      </c>
      <c r="F939" t="s">
        <v>24</v>
      </c>
      <c r="G939" t="s">
        <v>89</v>
      </c>
      <c r="H939" t="s">
        <v>84</v>
      </c>
      <c r="I939" t="s">
        <v>85</v>
      </c>
      <c r="J939" t="s">
        <v>47</v>
      </c>
      <c r="K939" t="s">
        <v>60</v>
      </c>
      <c r="L939" t="s">
        <v>73</v>
      </c>
      <c r="M939">
        <v>22</v>
      </c>
      <c r="N939">
        <v>249.99</v>
      </c>
      <c r="O939">
        <v>5499.78</v>
      </c>
      <c r="P939">
        <v>0.08</v>
      </c>
      <c r="Q939">
        <v>439.98</v>
      </c>
      <c r="R939">
        <v>5059.8</v>
      </c>
      <c r="S939">
        <v>404.78</v>
      </c>
      <c r="T939">
        <v>0</v>
      </c>
      <c r="U939" t="s">
        <v>31</v>
      </c>
    </row>
    <row r="940" spans="1:21" x14ac:dyDescent="0.35">
      <c r="A940" t="s">
        <v>1054</v>
      </c>
      <c r="B940" s="1">
        <v>45917</v>
      </c>
      <c r="C940">
        <v>2025</v>
      </c>
      <c r="D940" t="s">
        <v>107</v>
      </c>
      <c r="E940" t="s">
        <v>108</v>
      </c>
      <c r="F940" t="s">
        <v>35</v>
      </c>
      <c r="G940" t="s">
        <v>109</v>
      </c>
      <c r="H940" t="s">
        <v>78</v>
      </c>
      <c r="I940" t="s">
        <v>79</v>
      </c>
      <c r="J940" t="s">
        <v>28</v>
      </c>
      <c r="K940" t="s">
        <v>68</v>
      </c>
      <c r="L940" t="s">
        <v>69</v>
      </c>
      <c r="M940">
        <v>28</v>
      </c>
      <c r="N940">
        <v>5.99</v>
      </c>
      <c r="O940">
        <v>167.72</v>
      </c>
      <c r="P940">
        <v>0.08</v>
      </c>
      <c r="Q940">
        <v>13.42</v>
      </c>
      <c r="R940">
        <v>154.30000000000001</v>
      </c>
      <c r="S940">
        <v>12.34</v>
      </c>
      <c r="T940">
        <v>166.64</v>
      </c>
      <c r="U940" t="s">
        <v>39</v>
      </c>
    </row>
    <row r="941" spans="1:21" x14ac:dyDescent="0.35">
      <c r="A941" t="s">
        <v>1055</v>
      </c>
      <c r="B941" s="1">
        <v>45918</v>
      </c>
      <c r="C941">
        <v>2025</v>
      </c>
      <c r="D941" t="s">
        <v>51</v>
      </c>
      <c r="E941" t="s">
        <v>52</v>
      </c>
      <c r="F941" t="s">
        <v>24</v>
      </c>
      <c r="G941" t="s">
        <v>53</v>
      </c>
      <c r="H941" t="s">
        <v>78</v>
      </c>
      <c r="I941" t="s">
        <v>79</v>
      </c>
      <c r="J941" t="s">
        <v>28</v>
      </c>
      <c r="K941" t="s">
        <v>68</v>
      </c>
      <c r="L941" t="s">
        <v>30</v>
      </c>
      <c r="M941">
        <v>17</v>
      </c>
      <c r="N941">
        <v>5.99</v>
      </c>
      <c r="O941">
        <v>101.83</v>
      </c>
      <c r="P941">
        <v>0.05</v>
      </c>
      <c r="Q941">
        <v>5.09</v>
      </c>
      <c r="R941">
        <v>96.74</v>
      </c>
      <c r="S941">
        <v>7.74</v>
      </c>
      <c r="T941">
        <v>104.48</v>
      </c>
      <c r="U941" t="s">
        <v>39</v>
      </c>
    </row>
    <row r="942" spans="1:21" x14ac:dyDescent="0.35">
      <c r="A942" t="s">
        <v>1056</v>
      </c>
      <c r="B942" s="1">
        <v>45919</v>
      </c>
      <c r="C942">
        <v>2025</v>
      </c>
      <c r="D942" t="s">
        <v>148</v>
      </c>
      <c r="E942" t="s">
        <v>149</v>
      </c>
      <c r="F942" t="s">
        <v>43</v>
      </c>
      <c r="G942" t="s">
        <v>150</v>
      </c>
      <c r="H942" t="s">
        <v>78</v>
      </c>
      <c r="I942" t="s">
        <v>79</v>
      </c>
      <c r="J942" t="s">
        <v>28</v>
      </c>
      <c r="K942" t="s">
        <v>37</v>
      </c>
      <c r="L942" t="s">
        <v>73</v>
      </c>
      <c r="M942">
        <v>17</v>
      </c>
      <c r="N942">
        <v>5.99</v>
      </c>
      <c r="O942">
        <v>101.83</v>
      </c>
      <c r="P942">
        <v>0.05</v>
      </c>
      <c r="Q942">
        <v>5.09</v>
      </c>
      <c r="R942">
        <v>96.74</v>
      </c>
      <c r="S942">
        <v>7.74</v>
      </c>
      <c r="T942">
        <v>104.48</v>
      </c>
      <c r="U942" t="s">
        <v>39</v>
      </c>
    </row>
    <row r="943" spans="1:21" x14ac:dyDescent="0.35">
      <c r="A943" t="s">
        <v>1057</v>
      </c>
      <c r="B943" s="1">
        <v>45919</v>
      </c>
      <c r="C943">
        <v>2025</v>
      </c>
      <c r="D943" t="s">
        <v>107</v>
      </c>
      <c r="E943" t="s">
        <v>108</v>
      </c>
      <c r="F943" t="s">
        <v>35</v>
      </c>
      <c r="G943" t="s">
        <v>109</v>
      </c>
      <c r="H943" t="s">
        <v>125</v>
      </c>
      <c r="I943" t="s">
        <v>126</v>
      </c>
      <c r="J943" t="s">
        <v>28</v>
      </c>
      <c r="K943" t="s">
        <v>48</v>
      </c>
      <c r="L943" t="s">
        <v>49</v>
      </c>
      <c r="M943">
        <v>6</v>
      </c>
      <c r="N943">
        <v>79.989999999999995</v>
      </c>
      <c r="O943">
        <v>479.94</v>
      </c>
      <c r="P943">
        <v>0</v>
      </c>
      <c r="Q943">
        <v>0</v>
      </c>
      <c r="R943">
        <v>479.94</v>
      </c>
      <c r="S943">
        <v>38.4</v>
      </c>
      <c r="T943">
        <v>518.34</v>
      </c>
      <c r="U943" t="s">
        <v>39</v>
      </c>
    </row>
    <row r="944" spans="1:21" x14ac:dyDescent="0.35">
      <c r="A944" t="s">
        <v>1058</v>
      </c>
      <c r="B944" s="1">
        <v>45922</v>
      </c>
      <c r="C944">
        <v>2025</v>
      </c>
      <c r="D944" t="s">
        <v>81</v>
      </c>
      <c r="E944" t="s">
        <v>82</v>
      </c>
      <c r="F944" t="s">
        <v>35</v>
      </c>
      <c r="G944" t="s">
        <v>83</v>
      </c>
      <c r="H944" t="s">
        <v>84</v>
      </c>
      <c r="I944" t="s">
        <v>85</v>
      </c>
      <c r="J944" t="s">
        <v>47</v>
      </c>
      <c r="K944" t="s">
        <v>29</v>
      </c>
      <c r="L944" t="s">
        <v>49</v>
      </c>
      <c r="M944">
        <v>12</v>
      </c>
      <c r="N944">
        <v>249.99</v>
      </c>
      <c r="O944">
        <v>2999.88</v>
      </c>
      <c r="P944">
        <v>0.05</v>
      </c>
      <c r="Q944">
        <v>149.99</v>
      </c>
      <c r="R944">
        <v>2849.89</v>
      </c>
      <c r="S944">
        <v>227.99</v>
      </c>
      <c r="T944">
        <v>3077.88</v>
      </c>
      <c r="U944" t="s">
        <v>39</v>
      </c>
    </row>
    <row r="945" spans="1:21" x14ac:dyDescent="0.35">
      <c r="A945" t="s">
        <v>1059</v>
      </c>
      <c r="B945" s="1">
        <v>45923</v>
      </c>
      <c r="C945">
        <v>2025</v>
      </c>
      <c r="D945" t="s">
        <v>62</v>
      </c>
      <c r="E945" t="s">
        <v>63</v>
      </c>
      <c r="F945" t="s">
        <v>64</v>
      </c>
      <c r="G945" t="s">
        <v>65</v>
      </c>
      <c r="H945" t="s">
        <v>26</v>
      </c>
      <c r="I945" t="s">
        <v>27</v>
      </c>
      <c r="J945" t="s">
        <v>28</v>
      </c>
      <c r="K945" t="s">
        <v>60</v>
      </c>
      <c r="L945" t="s">
        <v>38</v>
      </c>
      <c r="M945">
        <v>7</v>
      </c>
      <c r="N945">
        <v>8.99</v>
      </c>
      <c r="O945">
        <v>62.93</v>
      </c>
      <c r="P945">
        <v>0.08</v>
      </c>
      <c r="Q945">
        <v>5.03</v>
      </c>
      <c r="R945">
        <v>57.9</v>
      </c>
      <c r="S945">
        <v>4.63</v>
      </c>
      <c r="T945">
        <v>0</v>
      </c>
      <c r="U945" t="s">
        <v>31</v>
      </c>
    </row>
    <row r="946" spans="1:21" x14ac:dyDescent="0.35">
      <c r="A946" t="s">
        <v>1060</v>
      </c>
      <c r="B946" s="1">
        <v>45923</v>
      </c>
      <c r="C946">
        <v>2025</v>
      </c>
      <c r="D946" t="s">
        <v>148</v>
      </c>
      <c r="E946" t="s">
        <v>149</v>
      </c>
      <c r="F946" t="s">
        <v>43</v>
      </c>
      <c r="G946" t="s">
        <v>150</v>
      </c>
      <c r="H946" t="s">
        <v>145</v>
      </c>
      <c r="I946" t="s">
        <v>146</v>
      </c>
      <c r="J946" t="s">
        <v>47</v>
      </c>
      <c r="K946" t="s">
        <v>29</v>
      </c>
      <c r="L946" t="s">
        <v>38</v>
      </c>
      <c r="M946">
        <v>23</v>
      </c>
      <c r="N946">
        <v>129.99</v>
      </c>
      <c r="O946">
        <v>2989.77</v>
      </c>
      <c r="P946">
        <v>0.16</v>
      </c>
      <c r="Q946">
        <v>478.36</v>
      </c>
      <c r="R946">
        <v>2511.41</v>
      </c>
      <c r="S946">
        <v>200.91</v>
      </c>
      <c r="T946">
        <v>2712.32</v>
      </c>
      <c r="U946" t="s">
        <v>39</v>
      </c>
    </row>
    <row r="947" spans="1:21" x14ac:dyDescent="0.35">
      <c r="A947" t="s">
        <v>1061</v>
      </c>
      <c r="B947" s="1">
        <v>45924</v>
      </c>
      <c r="C947">
        <v>2025</v>
      </c>
      <c r="D947" t="s">
        <v>22</v>
      </c>
      <c r="E947" t="s">
        <v>23</v>
      </c>
      <c r="F947" t="s">
        <v>24</v>
      </c>
      <c r="G947" t="s">
        <v>25</v>
      </c>
      <c r="H947" t="s">
        <v>100</v>
      </c>
      <c r="I947" t="s">
        <v>101</v>
      </c>
      <c r="J947" t="s">
        <v>47</v>
      </c>
      <c r="K947" t="s">
        <v>37</v>
      </c>
      <c r="L947" t="s">
        <v>30</v>
      </c>
      <c r="M947">
        <v>6</v>
      </c>
      <c r="N947">
        <v>29.99</v>
      </c>
      <c r="O947">
        <v>179.94</v>
      </c>
      <c r="P947">
        <v>0</v>
      </c>
      <c r="Q947">
        <v>0</v>
      </c>
      <c r="R947">
        <v>179.94</v>
      </c>
      <c r="S947">
        <v>14.4</v>
      </c>
      <c r="T947">
        <v>194.34</v>
      </c>
      <c r="U947" t="s">
        <v>39</v>
      </c>
    </row>
    <row r="948" spans="1:21" x14ac:dyDescent="0.35">
      <c r="A948" t="s">
        <v>1062</v>
      </c>
      <c r="B948" s="1">
        <v>45924</v>
      </c>
      <c r="C948">
        <v>2025</v>
      </c>
      <c r="D948" t="s">
        <v>91</v>
      </c>
      <c r="E948" t="s">
        <v>92</v>
      </c>
      <c r="F948" t="s">
        <v>24</v>
      </c>
      <c r="G948" t="s">
        <v>93</v>
      </c>
      <c r="H948" t="s">
        <v>125</v>
      </c>
      <c r="I948" t="s">
        <v>126</v>
      </c>
      <c r="J948" t="s">
        <v>28</v>
      </c>
      <c r="K948" t="s">
        <v>68</v>
      </c>
      <c r="L948" t="s">
        <v>49</v>
      </c>
      <c r="M948">
        <v>23</v>
      </c>
      <c r="N948">
        <v>79.989999999999995</v>
      </c>
      <c r="O948">
        <v>1839.77</v>
      </c>
      <c r="P948">
        <v>0.08</v>
      </c>
      <c r="Q948">
        <v>147.18</v>
      </c>
      <c r="R948">
        <v>1692.59</v>
      </c>
      <c r="S948">
        <v>135.41</v>
      </c>
      <c r="T948">
        <v>1828</v>
      </c>
      <c r="U948" t="s">
        <v>39</v>
      </c>
    </row>
    <row r="949" spans="1:21" x14ac:dyDescent="0.35">
      <c r="A949" t="s">
        <v>1063</v>
      </c>
      <c r="B949" s="1">
        <v>45927</v>
      </c>
      <c r="C949">
        <v>2025</v>
      </c>
      <c r="D949" t="s">
        <v>122</v>
      </c>
      <c r="E949" t="s">
        <v>123</v>
      </c>
      <c r="F949" t="s">
        <v>64</v>
      </c>
      <c r="G949" t="s">
        <v>124</v>
      </c>
      <c r="H949" t="s">
        <v>58</v>
      </c>
      <c r="I949" t="s">
        <v>59</v>
      </c>
      <c r="J949" t="s">
        <v>56</v>
      </c>
      <c r="K949" t="s">
        <v>29</v>
      </c>
      <c r="L949" t="s">
        <v>30</v>
      </c>
      <c r="M949">
        <v>2</v>
      </c>
      <c r="N949">
        <v>599.99</v>
      </c>
      <c r="O949">
        <v>1199.98</v>
      </c>
      <c r="P949">
        <v>0</v>
      </c>
      <c r="Q949">
        <v>0</v>
      </c>
      <c r="R949">
        <v>1199.98</v>
      </c>
      <c r="S949">
        <v>96</v>
      </c>
      <c r="T949">
        <v>1295.98</v>
      </c>
      <c r="U949" t="s">
        <v>39</v>
      </c>
    </row>
    <row r="950" spans="1:21" x14ac:dyDescent="0.35">
      <c r="A950" t="s">
        <v>1064</v>
      </c>
      <c r="B950" s="1">
        <v>45927</v>
      </c>
      <c r="C950">
        <v>2025</v>
      </c>
      <c r="D950" t="s">
        <v>142</v>
      </c>
      <c r="E950" t="s">
        <v>143</v>
      </c>
      <c r="F950" t="s">
        <v>43</v>
      </c>
      <c r="G950" t="s">
        <v>144</v>
      </c>
      <c r="H950" t="s">
        <v>78</v>
      </c>
      <c r="I950" t="s">
        <v>79</v>
      </c>
      <c r="J950" t="s">
        <v>28</v>
      </c>
      <c r="K950" t="s">
        <v>48</v>
      </c>
      <c r="L950" t="s">
        <v>38</v>
      </c>
      <c r="M950">
        <v>7</v>
      </c>
      <c r="N950">
        <v>5.99</v>
      </c>
      <c r="O950">
        <v>41.93</v>
      </c>
      <c r="P950">
        <v>0.08</v>
      </c>
      <c r="Q950">
        <v>3.35</v>
      </c>
      <c r="R950">
        <v>38.58</v>
      </c>
      <c r="S950">
        <v>3.09</v>
      </c>
      <c r="T950">
        <v>41.67</v>
      </c>
      <c r="U950" t="s">
        <v>39</v>
      </c>
    </row>
    <row r="951" spans="1:21" x14ac:dyDescent="0.35">
      <c r="A951" t="s">
        <v>1065</v>
      </c>
      <c r="B951" s="1">
        <v>45930</v>
      </c>
      <c r="C951">
        <v>2025</v>
      </c>
      <c r="D951" t="s">
        <v>41</v>
      </c>
      <c r="E951" t="s">
        <v>42</v>
      </c>
      <c r="F951" t="s">
        <v>43</v>
      </c>
      <c r="G951" t="s">
        <v>44</v>
      </c>
      <c r="H951" t="s">
        <v>208</v>
      </c>
      <c r="I951" t="s">
        <v>209</v>
      </c>
      <c r="J951" t="s">
        <v>47</v>
      </c>
      <c r="K951" t="s">
        <v>48</v>
      </c>
      <c r="L951" t="s">
        <v>30</v>
      </c>
      <c r="M951">
        <v>29</v>
      </c>
      <c r="N951">
        <v>49.99</v>
      </c>
      <c r="O951">
        <v>1449.71</v>
      </c>
      <c r="P951">
        <v>0.08</v>
      </c>
      <c r="Q951">
        <v>115.98</v>
      </c>
      <c r="R951">
        <v>1333.73</v>
      </c>
      <c r="S951">
        <v>106.7</v>
      </c>
      <c r="T951">
        <v>1440.43</v>
      </c>
      <c r="U951" t="s">
        <v>39</v>
      </c>
    </row>
    <row r="952" spans="1:21" x14ac:dyDescent="0.35">
      <c r="A952" t="s">
        <v>1066</v>
      </c>
      <c r="B952" s="1">
        <v>45931</v>
      </c>
      <c r="C952">
        <v>2025</v>
      </c>
      <c r="D952" t="s">
        <v>97</v>
      </c>
      <c r="E952" t="s">
        <v>98</v>
      </c>
      <c r="F952" t="s">
        <v>35</v>
      </c>
      <c r="G952" t="s">
        <v>99</v>
      </c>
      <c r="H952" t="s">
        <v>145</v>
      </c>
      <c r="I952" t="s">
        <v>146</v>
      </c>
      <c r="J952" t="s">
        <v>47</v>
      </c>
      <c r="K952" t="s">
        <v>68</v>
      </c>
      <c r="L952" t="s">
        <v>38</v>
      </c>
      <c r="M952">
        <v>4</v>
      </c>
      <c r="N952">
        <v>129.99</v>
      </c>
      <c r="O952">
        <v>519.96</v>
      </c>
      <c r="P952">
        <v>0.08</v>
      </c>
      <c r="Q952">
        <v>41.6</v>
      </c>
      <c r="R952">
        <v>478.36</v>
      </c>
      <c r="S952">
        <v>38.270000000000003</v>
      </c>
      <c r="T952">
        <v>516.63</v>
      </c>
      <c r="U952" t="s">
        <v>111</v>
      </c>
    </row>
    <row r="953" spans="1:21" x14ac:dyDescent="0.35">
      <c r="A953" t="s">
        <v>1067</v>
      </c>
      <c r="B953" s="1">
        <v>45931</v>
      </c>
      <c r="C953">
        <v>2025</v>
      </c>
      <c r="D953" t="s">
        <v>186</v>
      </c>
      <c r="E953" t="s">
        <v>187</v>
      </c>
      <c r="F953" t="s">
        <v>43</v>
      </c>
      <c r="G953" t="s">
        <v>188</v>
      </c>
      <c r="H953" t="s">
        <v>125</v>
      </c>
      <c r="I953" t="s">
        <v>126</v>
      </c>
      <c r="J953" t="s">
        <v>28</v>
      </c>
      <c r="K953" t="s">
        <v>60</v>
      </c>
      <c r="L953" t="s">
        <v>30</v>
      </c>
      <c r="M953">
        <v>21</v>
      </c>
      <c r="N953">
        <v>79.989999999999995</v>
      </c>
      <c r="O953">
        <v>1679.79</v>
      </c>
      <c r="P953">
        <v>0.08</v>
      </c>
      <c r="Q953">
        <v>134.38</v>
      </c>
      <c r="R953">
        <v>1545.41</v>
      </c>
      <c r="S953">
        <v>123.63</v>
      </c>
      <c r="T953">
        <v>1669.04</v>
      </c>
      <c r="U953" t="s">
        <v>111</v>
      </c>
    </row>
    <row r="954" spans="1:21" x14ac:dyDescent="0.35">
      <c r="A954" t="s">
        <v>1068</v>
      </c>
      <c r="B954" s="1">
        <v>45932</v>
      </c>
      <c r="C954">
        <v>2025</v>
      </c>
      <c r="D954" t="s">
        <v>22</v>
      </c>
      <c r="E954" t="s">
        <v>23</v>
      </c>
      <c r="F954" t="s">
        <v>24</v>
      </c>
      <c r="G954" t="s">
        <v>25</v>
      </c>
      <c r="H954" t="s">
        <v>100</v>
      </c>
      <c r="I954" t="s">
        <v>101</v>
      </c>
      <c r="J954" t="s">
        <v>47</v>
      </c>
      <c r="K954" t="s">
        <v>48</v>
      </c>
      <c r="L954" t="s">
        <v>73</v>
      </c>
      <c r="M954">
        <v>18</v>
      </c>
      <c r="N954">
        <v>29.99</v>
      </c>
      <c r="O954">
        <v>539.82000000000005</v>
      </c>
      <c r="P954">
        <v>0.05</v>
      </c>
      <c r="Q954">
        <v>26.99</v>
      </c>
      <c r="R954">
        <v>512.83000000000004</v>
      </c>
      <c r="S954">
        <v>41.03</v>
      </c>
      <c r="T954">
        <v>553.86</v>
      </c>
      <c r="U954" t="s">
        <v>39</v>
      </c>
    </row>
    <row r="955" spans="1:21" x14ac:dyDescent="0.35">
      <c r="A955" t="s">
        <v>1069</v>
      </c>
      <c r="B955" s="1">
        <v>45932</v>
      </c>
      <c r="C955">
        <v>2025</v>
      </c>
      <c r="D955" t="s">
        <v>62</v>
      </c>
      <c r="E955" t="s">
        <v>63</v>
      </c>
      <c r="F955" t="s">
        <v>64</v>
      </c>
      <c r="G955" t="s">
        <v>65</v>
      </c>
      <c r="H955" t="s">
        <v>145</v>
      </c>
      <c r="I955" t="s">
        <v>146</v>
      </c>
      <c r="J955" t="s">
        <v>47</v>
      </c>
      <c r="K955" t="s">
        <v>48</v>
      </c>
      <c r="L955" t="s">
        <v>49</v>
      </c>
      <c r="M955">
        <v>28</v>
      </c>
      <c r="N955">
        <v>129.99</v>
      </c>
      <c r="O955">
        <v>3639.72</v>
      </c>
      <c r="P955">
        <v>0.08</v>
      </c>
      <c r="Q955">
        <v>291.18</v>
      </c>
      <c r="R955">
        <v>3348.54</v>
      </c>
      <c r="S955">
        <v>267.88</v>
      </c>
      <c r="T955">
        <v>3616.42</v>
      </c>
      <c r="U955" t="s">
        <v>39</v>
      </c>
    </row>
    <row r="956" spans="1:21" x14ac:dyDescent="0.35">
      <c r="A956" t="s">
        <v>1070</v>
      </c>
      <c r="B956" s="1">
        <v>45934</v>
      </c>
      <c r="C956">
        <v>2025</v>
      </c>
      <c r="D956" t="s">
        <v>97</v>
      </c>
      <c r="E956" t="s">
        <v>98</v>
      </c>
      <c r="F956" t="s">
        <v>35</v>
      </c>
      <c r="G956" t="s">
        <v>99</v>
      </c>
      <c r="H956" t="s">
        <v>125</v>
      </c>
      <c r="I956" t="s">
        <v>126</v>
      </c>
      <c r="J956" t="s">
        <v>28</v>
      </c>
      <c r="K956" t="s">
        <v>60</v>
      </c>
      <c r="L956" t="s">
        <v>69</v>
      </c>
      <c r="M956">
        <v>9</v>
      </c>
      <c r="N956">
        <v>79.989999999999995</v>
      </c>
      <c r="O956">
        <v>719.91</v>
      </c>
      <c r="P956">
        <v>0</v>
      </c>
      <c r="Q956">
        <v>0</v>
      </c>
      <c r="R956">
        <v>719.91</v>
      </c>
      <c r="S956">
        <v>57.59</v>
      </c>
      <c r="T956">
        <v>777.5</v>
      </c>
      <c r="U956" t="s">
        <v>39</v>
      </c>
    </row>
    <row r="957" spans="1:21" x14ac:dyDescent="0.35">
      <c r="A957" t="s">
        <v>1071</v>
      </c>
      <c r="B957" s="1">
        <v>45934</v>
      </c>
      <c r="C957">
        <v>2025</v>
      </c>
      <c r="D957" t="s">
        <v>107</v>
      </c>
      <c r="E957" t="s">
        <v>108</v>
      </c>
      <c r="F957" t="s">
        <v>35</v>
      </c>
      <c r="G957" t="s">
        <v>109</v>
      </c>
      <c r="H957" t="s">
        <v>94</v>
      </c>
      <c r="I957" t="s">
        <v>95</v>
      </c>
      <c r="J957" t="s">
        <v>56</v>
      </c>
      <c r="K957" t="s">
        <v>68</v>
      </c>
      <c r="L957" t="s">
        <v>30</v>
      </c>
      <c r="M957">
        <v>18</v>
      </c>
      <c r="N957">
        <v>349.99</v>
      </c>
      <c r="O957">
        <v>6299.82</v>
      </c>
      <c r="P957">
        <v>0.05</v>
      </c>
      <c r="Q957">
        <v>314.99</v>
      </c>
      <c r="R957">
        <v>5984.83</v>
      </c>
      <c r="S957">
        <v>478.79</v>
      </c>
      <c r="T957">
        <v>6463.62</v>
      </c>
      <c r="U957" t="s">
        <v>39</v>
      </c>
    </row>
    <row r="958" spans="1:21" x14ac:dyDescent="0.35">
      <c r="A958" t="s">
        <v>1072</v>
      </c>
      <c r="B958" s="1">
        <v>45934</v>
      </c>
      <c r="C958">
        <v>2025</v>
      </c>
      <c r="D958" t="s">
        <v>91</v>
      </c>
      <c r="E958" t="s">
        <v>92</v>
      </c>
      <c r="F958" t="s">
        <v>24</v>
      </c>
      <c r="G958" t="s">
        <v>93</v>
      </c>
      <c r="H958" t="s">
        <v>71</v>
      </c>
      <c r="I958" t="s">
        <v>72</v>
      </c>
      <c r="J958" t="s">
        <v>47</v>
      </c>
      <c r="K958" t="s">
        <v>37</v>
      </c>
      <c r="L958" t="s">
        <v>49</v>
      </c>
      <c r="M958">
        <v>15</v>
      </c>
      <c r="N958">
        <v>1199.99</v>
      </c>
      <c r="O958">
        <v>17999.849999999999</v>
      </c>
      <c r="P958">
        <v>0.05</v>
      </c>
      <c r="Q958">
        <v>899.99</v>
      </c>
      <c r="R958">
        <v>17099.86</v>
      </c>
      <c r="S958">
        <v>1367.99</v>
      </c>
      <c r="T958">
        <v>18467.849999999999</v>
      </c>
      <c r="U958" t="s">
        <v>39</v>
      </c>
    </row>
    <row r="959" spans="1:21" x14ac:dyDescent="0.35">
      <c r="A959" t="s">
        <v>1073</v>
      </c>
      <c r="B959" s="1">
        <v>45934</v>
      </c>
      <c r="C959">
        <v>2025</v>
      </c>
      <c r="D959" t="s">
        <v>51</v>
      </c>
      <c r="E959" t="s">
        <v>52</v>
      </c>
      <c r="F959" t="s">
        <v>24</v>
      </c>
      <c r="G959" t="s">
        <v>53</v>
      </c>
      <c r="H959" t="s">
        <v>125</v>
      </c>
      <c r="I959" t="s">
        <v>126</v>
      </c>
      <c r="J959" t="s">
        <v>28</v>
      </c>
      <c r="K959" t="s">
        <v>48</v>
      </c>
      <c r="L959" t="s">
        <v>38</v>
      </c>
      <c r="M959">
        <v>23</v>
      </c>
      <c r="N959">
        <v>79.989999999999995</v>
      </c>
      <c r="O959">
        <v>1839.77</v>
      </c>
      <c r="P959">
        <v>0.16</v>
      </c>
      <c r="Q959">
        <v>294.36</v>
      </c>
      <c r="R959">
        <v>1545.41</v>
      </c>
      <c r="S959">
        <v>123.63</v>
      </c>
      <c r="T959">
        <v>1669.04</v>
      </c>
      <c r="U959" t="s">
        <v>39</v>
      </c>
    </row>
    <row r="960" spans="1:21" x14ac:dyDescent="0.35">
      <c r="A960" t="s">
        <v>1074</v>
      </c>
      <c r="B960" s="1">
        <v>45935</v>
      </c>
      <c r="C960">
        <v>2025</v>
      </c>
      <c r="D960" t="s">
        <v>62</v>
      </c>
      <c r="E960" t="s">
        <v>63</v>
      </c>
      <c r="F960" t="s">
        <v>64</v>
      </c>
      <c r="G960" t="s">
        <v>65</v>
      </c>
      <c r="H960" t="s">
        <v>84</v>
      </c>
      <c r="I960" t="s">
        <v>85</v>
      </c>
      <c r="J960" t="s">
        <v>47</v>
      </c>
      <c r="K960" t="s">
        <v>60</v>
      </c>
      <c r="L960" t="s">
        <v>30</v>
      </c>
      <c r="M960">
        <v>25</v>
      </c>
      <c r="N960">
        <v>249.99</v>
      </c>
      <c r="O960">
        <v>6249.75</v>
      </c>
      <c r="P960">
        <v>0.08</v>
      </c>
      <c r="Q960">
        <v>499.98</v>
      </c>
      <c r="R960">
        <v>5749.77</v>
      </c>
      <c r="S960">
        <v>459.98</v>
      </c>
      <c r="T960">
        <v>6209.75</v>
      </c>
      <c r="U960" t="s">
        <v>39</v>
      </c>
    </row>
    <row r="961" spans="1:21" x14ac:dyDescent="0.35">
      <c r="A961" t="s">
        <v>1075</v>
      </c>
      <c r="B961" s="1">
        <v>45936</v>
      </c>
      <c r="C961">
        <v>2025</v>
      </c>
      <c r="D961" t="s">
        <v>148</v>
      </c>
      <c r="E961" t="s">
        <v>149</v>
      </c>
      <c r="F961" t="s">
        <v>43</v>
      </c>
      <c r="G961" t="s">
        <v>150</v>
      </c>
      <c r="H961" t="s">
        <v>125</v>
      </c>
      <c r="I961" t="s">
        <v>126</v>
      </c>
      <c r="J961" t="s">
        <v>28</v>
      </c>
      <c r="K961" t="s">
        <v>68</v>
      </c>
      <c r="L961" t="s">
        <v>49</v>
      </c>
      <c r="M961">
        <v>29</v>
      </c>
      <c r="N961">
        <v>79.989999999999995</v>
      </c>
      <c r="O961">
        <v>2319.71</v>
      </c>
      <c r="P961">
        <v>0.08</v>
      </c>
      <c r="Q961">
        <v>185.58</v>
      </c>
      <c r="R961">
        <v>2134.13</v>
      </c>
      <c r="S961">
        <v>170.73</v>
      </c>
      <c r="T961">
        <v>0</v>
      </c>
      <c r="U961" t="s">
        <v>31</v>
      </c>
    </row>
    <row r="962" spans="1:21" x14ac:dyDescent="0.35">
      <c r="A962" t="s">
        <v>1076</v>
      </c>
      <c r="B962" s="1">
        <v>45939</v>
      </c>
      <c r="C962">
        <v>2025</v>
      </c>
      <c r="D962" t="s">
        <v>186</v>
      </c>
      <c r="E962" t="s">
        <v>187</v>
      </c>
      <c r="F962" t="s">
        <v>43</v>
      </c>
      <c r="G962" t="s">
        <v>188</v>
      </c>
      <c r="H962" t="s">
        <v>66</v>
      </c>
      <c r="I962" t="s">
        <v>67</v>
      </c>
      <c r="J962" t="s">
        <v>56</v>
      </c>
      <c r="K962" t="s">
        <v>68</v>
      </c>
      <c r="L962" t="s">
        <v>30</v>
      </c>
      <c r="M962">
        <v>21</v>
      </c>
      <c r="N962">
        <v>229.99</v>
      </c>
      <c r="O962">
        <v>4829.79</v>
      </c>
      <c r="P962">
        <v>0.08</v>
      </c>
      <c r="Q962">
        <v>386.38</v>
      </c>
      <c r="R962">
        <v>4443.41</v>
      </c>
      <c r="S962">
        <v>355.47</v>
      </c>
      <c r="T962">
        <v>4798.88</v>
      </c>
      <c r="U962" t="s">
        <v>39</v>
      </c>
    </row>
    <row r="963" spans="1:21" x14ac:dyDescent="0.35">
      <c r="A963" t="s">
        <v>1077</v>
      </c>
      <c r="B963" s="1">
        <v>45942</v>
      </c>
      <c r="C963">
        <v>2025</v>
      </c>
      <c r="D963" t="s">
        <v>62</v>
      </c>
      <c r="E963" t="s">
        <v>63</v>
      </c>
      <c r="F963" t="s">
        <v>64</v>
      </c>
      <c r="G963" t="s">
        <v>65</v>
      </c>
      <c r="H963" t="s">
        <v>58</v>
      </c>
      <c r="I963" t="s">
        <v>59</v>
      </c>
      <c r="J963" t="s">
        <v>56</v>
      </c>
      <c r="K963" t="s">
        <v>37</v>
      </c>
      <c r="L963" t="s">
        <v>69</v>
      </c>
      <c r="M963">
        <v>28</v>
      </c>
      <c r="N963">
        <v>599.99</v>
      </c>
      <c r="O963">
        <v>16799.72</v>
      </c>
      <c r="P963">
        <v>0.08</v>
      </c>
      <c r="Q963">
        <v>1343.98</v>
      </c>
      <c r="R963">
        <v>15455.74</v>
      </c>
      <c r="S963">
        <v>1236.46</v>
      </c>
      <c r="T963">
        <v>0</v>
      </c>
      <c r="U963" t="s">
        <v>31</v>
      </c>
    </row>
    <row r="964" spans="1:21" x14ac:dyDescent="0.35">
      <c r="A964" t="s">
        <v>1078</v>
      </c>
      <c r="B964" s="1">
        <v>45943</v>
      </c>
      <c r="C964">
        <v>2025</v>
      </c>
      <c r="D964" t="s">
        <v>142</v>
      </c>
      <c r="E964" t="s">
        <v>143</v>
      </c>
      <c r="F964" t="s">
        <v>43</v>
      </c>
      <c r="G964" t="s">
        <v>144</v>
      </c>
      <c r="H964" t="s">
        <v>84</v>
      </c>
      <c r="I964" t="s">
        <v>85</v>
      </c>
      <c r="J964" t="s">
        <v>47</v>
      </c>
      <c r="K964" t="s">
        <v>48</v>
      </c>
      <c r="L964" t="s">
        <v>73</v>
      </c>
      <c r="M964">
        <v>24</v>
      </c>
      <c r="N964">
        <v>249.99</v>
      </c>
      <c r="O964">
        <v>5999.76</v>
      </c>
      <c r="P964">
        <v>0.08</v>
      </c>
      <c r="Q964">
        <v>479.98</v>
      </c>
      <c r="R964">
        <v>5519.78</v>
      </c>
      <c r="S964">
        <v>441.58</v>
      </c>
      <c r="T964">
        <v>0</v>
      </c>
      <c r="U964" t="s">
        <v>31</v>
      </c>
    </row>
    <row r="965" spans="1:21" x14ac:dyDescent="0.35">
      <c r="A965" t="s">
        <v>1079</v>
      </c>
      <c r="B965" s="1">
        <v>45944</v>
      </c>
      <c r="C965">
        <v>2025</v>
      </c>
      <c r="D965" t="s">
        <v>81</v>
      </c>
      <c r="E965" t="s">
        <v>82</v>
      </c>
      <c r="F965" t="s">
        <v>35</v>
      </c>
      <c r="G965" t="s">
        <v>83</v>
      </c>
      <c r="H965" t="s">
        <v>71</v>
      </c>
      <c r="I965" t="s">
        <v>72</v>
      </c>
      <c r="J965" t="s">
        <v>47</v>
      </c>
      <c r="K965" t="s">
        <v>68</v>
      </c>
      <c r="L965" t="s">
        <v>69</v>
      </c>
      <c r="M965">
        <v>10</v>
      </c>
      <c r="N965">
        <v>1199.99</v>
      </c>
      <c r="O965">
        <v>11999.9</v>
      </c>
      <c r="P965">
        <v>0.05</v>
      </c>
      <c r="Q965">
        <v>600</v>
      </c>
      <c r="R965">
        <v>11399.9</v>
      </c>
      <c r="S965">
        <v>911.99</v>
      </c>
      <c r="T965">
        <v>0</v>
      </c>
      <c r="U965" t="s">
        <v>31</v>
      </c>
    </row>
    <row r="966" spans="1:21" x14ac:dyDescent="0.35">
      <c r="A966" t="s">
        <v>1080</v>
      </c>
      <c r="B966" s="1">
        <v>45944</v>
      </c>
      <c r="C966">
        <v>2025</v>
      </c>
      <c r="D966" t="s">
        <v>41</v>
      </c>
      <c r="E966" t="s">
        <v>42</v>
      </c>
      <c r="F966" t="s">
        <v>43</v>
      </c>
      <c r="G966" t="s">
        <v>44</v>
      </c>
      <c r="H966" t="s">
        <v>100</v>
      </c>
      <c r="I966" t="s">
        <v>101</v>
      </c>
      <c r="J966" t="s">
        <v>47</v>
      </c>
      <c r="K966" t="s">
        <v>37</v>
      </c>
      <c r="L966" t="s">
        <v>49</v>
      </c>
      <c r="M966">
        <v>12</v>
      </c>
      <c r="N966">
        <v>29.99</v>
      </c>
      <c r="O966">
        <v>359.88</v>
      </c>
      <c r="P966">
        <v>0.05</v>
      </c>
      <c r="Q966">
        <v>17.989999999999998</v>
      </c>
      <c r="R966">
        <v>341.89</v>
      </c>
      <c r="S966">
        <v>27.35</v>
      </c>
      <c r="T966">
        <v>369.24</v>
      </c>
      <c r="U966" t="s">
        <v>39</v>
      </c>
    </row>
    <row r="967" spans="1:21" x14ac:dyDescent="0.35">
      <c r="A967" t="s">
        <v>1081</v>
      </c>
      <c r="B967" s="1">
        <v>45949</v>
      </c>
      <c r="C967">
        <v>2025</v>
      </c>
      <c r="D967" t="s">
        <v>148</v>
      </c>
      <c r="E967" t="s">
        <v>149</v>
      </c>
      <c r="F967" t="s">
        <v>43</v>
      </c>
      <c r="G967" t="s">
        <v>150</v>
      </c>
      <c r="H967" t="s">
        <v>84</v>
      </c>
      <c r="I967" t="s">
        <v>85</v>
      </c>
      <c r="J967" t="s">
        <v>47</v>
      </c>
      <c r="K967" t="s">
        <v>37</v>
      </c>
      <c r="L967" t="s">
        <v>49</v>
      </c>
      <c r="M967">
        <v>18</v>
      </c>
      <c r="N967">
        <v>249.99</v>
      </c>
      <c r="O967">
        <v>4499.82</v>
      </c>
      <c r="P967">
        <v>0.05</v>
      </c>
      <c r="Q967">
        <v>224.99</v>
      </c>
      <c r="R967">
        <v>4274.83</v>
      </c>
      <c r="S967">
        <v>341.99</v>
      </c>
      <c r="T967">
        <v>0</v>
      </c>
      <c r="U967" t="s">
        <v>31</v>
      </c>
    </row>
    <row r="968" spans="1:21" x14ac:dyDescent="0.35">
      <c r="A968" t="s">
        <v>1082</v>
      </c>
      <c r="B968" s="1">
        <v>45952</v>
      </c>
      <c r="C968">
        <v>2025</v>
      </c>
      <c r="D968" t="s">
        <v>33</v>
      </c>
      <c r="E968" t="s">
        <v>34</v>
      </c>
      <c r="F968" t="s">
        <v>35</v>
      </c>
      <c r="G968" t="s">
        <v>36</v>
      </c>
      <c r="H968" t="s">
        <v>26</v>
      </c>
      <c r="I968" t="s">
        <v>27</v>
      </c>
      <c r="J968" t="s">
        <v>28</v>
      </c>
      <c r="K968" t="s">
        <v>48</v>
      </c>
      <c r="L968" t="s">
        <v>49</v>
      </c>
      <c r="M968">
        <v>27</v>
      </c>
      <c r="N968">
        <v>8.99</v>
      </c>
      <c r="O968">
        <v>242.73</v>
      </c>
      <c r="P968">
        <v>0.08</v>
      </c>
      <c r="Q968">
        <v>19.420000000000002</v>
      </c>
      <c r="R968">
        <v>223.31</v>
      </c>
      <c r="S968">
        <v>17.86</v>
      </c>
      <c r="T968">
        <v>0</v>
      </c>
      <c r="U968" t="s">
        <v>31</v>
      </c>
    </row>
    <row r="969" spans="1:21" x14ac:dyDescent="0.35">
      <c r="A969" t="s">
        <v>1083</v>
      </c>
      <c r="B969" s="1">
        <v>45953</v>
      </c>
      <c r="C969">
        <v>2025</v>
      </c>
      <c r="D969" t="s">
        <v>87</v>
      </c>
      <c r="E969" t="s">
        <v>88</v>
      </c>
      <c r="F969" t="s">
        <v>24</v>
      </c>
      <c r="G969" t="s">
        <v>89</v>
      </c>
      <c r="H969" t="s">
        <v>26</v>
      </c>
      <c r="I969" t="s">
        <v>27</v>
      </c>
      <c r="J969" t="s">
        <v>28</v>
      </c>
      <c r="K969" t="s">
        <v>48</v>
      </c>
      <c r="L969" t="s">
        <v>38</v>
      </c>
      <c r="M969">
        <v>10</v>
      </c>
      <c r="N969">
        <v>8.99</v>
      </c>
      <c r="O969">
        <v>89.9</v>
      </c>
      <c r="P969">
        <v>0.13</v>
      </c>
      <c r="Q969">
        <v>11.69</v>
      </c>
      <c r="R969">
        <v>78.209999999999994</v>
      </c>
      <c r="S969">
        <v>6.26</v>
      </c>
      <c r="T969">
        <v>84.47</v>
      </c>
      <c r="U969" t="s">
        <v>39</v>
      </c>
    </row>
    <row r="970" spans="1:21" x14ac:dyDescent="0.35">
      <c r="A970" t="s">
        <v>1084</v>
      </c>
      <c r="B970" s="1">
        <v>45955</v>
      </c>
      <c r="C970">
        <v>2025</v>
      </c>
      <c r="D970" t="s">
        <v>51</v>
      </c>
      <c r="E970" t="s">
        <v>52</v>
      </c>
      <c r="F970" t="s">
        <v>24</v>
      </c>
      <c r="G970" t="s">
        <v>53</v>
      </c>
      <c r="H970" t="s">
        <v>100</v>
      </c>
      <c r="I970" t="s">
        <v>101</v>
      </c>
      <c r="J970" t="s">
        <v>47</v>
      </c>
      <c r="K970" t="s">
        <v>68</v>
      </c>
      <c r="L970" t="s">
        <v>49</v>
      </c>
      <c r="M970">
        <v>7</v>
      </c>
      <c r="N970">
        <v>29.99</v>
      </c>
      <c r="O970">
        <v>209.93</v>
      </c>
      <c r="P970">
        <v>0</v>
      </c>
      <c r="Q970">
        <v>0</v>
      </c>
      <c r="R970">
        <v>209.93</v>
      </c>
      <c r="S970">
        <v>16.79</v>
      </c>
      <c r="T970">
        <v>226.72</v>
      </c>
      <c r="U970" t="s">
        <v>39</v>
      </c>
    </row>
    <row r="971" spans="1:21" x14ac:dyDescent="0.35">
      <c r="A971" t="s">
        <v>1085</v>
      </c>
      <c r="B971" s="1">
        <v>45957</v>
      </c>
      <c r="C971">
        <v>2025</v>
      </c>
      <c r="D971" t="s">
        <v>51</v>
      </c>
      <c r="E971" t="s">
        <v>52</v>
      </c>
      <c r="F971" t="s">
        <v>24</v>
      </c>
      <c r="G971" t="s">
        <v>53</v>
      </c>
      <c r="H971" t="s">
        <v>145</v>
      </c>
      <c r="I971" t="s">
        <v>146</v>
      </c>
      <c r="J971" t="s">
        <v>47</v>
      </c>
      <c r="K971" t="s">
        <v>48</v>
      </c>
      <c r="L971" t="s">
        <v>49</v>
      </c>
      <c r="M971">
        <v>6</v>
      </c>
      <c r="N971">
        <v>129.99</v>
      </c>
      <c r="O971">
        <v>779.94</v>
      </c>
      <c r="P971">
        <v>0</v>
      </c>
      <c r="Q971">
        <v>0</v>
      </c>
      <c r="R971">
        <v>779.94</v>
      </c>
      <c r="S971">
        <v>62.4</v>
      </c>
      <c r="T971">
        <v>842.34</v>
      </c>
      <c r="U971" t="s">
        <v>39</v>
      </c>
    </row>
    <row r="972" spans="1:21" x14ac:dyDescent="0.35">
      <c r="A972" t="s">
        <v>1086</v>
      </c>
      <c r="B972" s="1">
        <v>45959</v>
      </c>
      <c r="C972">
        <v>2025</v>
      </c>
      <c r="D972" t="s">
        <v>62</v>
      </c>
      <c r="E972" t="s">
        <v>63</v>
      </c>
      <c r="F972" t="s">
        <v>64</v>
      </c>
      <c r="G972" t="s">
        <v>65</v>
      </c>
      <c r="H972" t="s">
        <v>128</v>
      </c>
      <c r="I972" t="s">
        <v>129</v>
      </c>
      <c r="J972" t="s">
        <v>47</v>
      </c>
      <c r="K972" t="s">
        <v>29</v>
      </c>
      <c r="L972" t="s">
        <v>49</v>
      </c>
      <c r="M972">
        <v>8</v>
      </c>
      <c r="N972">
        <v>399.99</v>
      </c>
      <c r="O972">
        <v>3199.92</v>
      </c>
      <c r="P972">
        <v>0</v>
      </c>
      <c r="Q972">
        <v>0</v>
      </c>
      <c r="R972">
        <v>3199.92</v>
      </c>
      <c r="S972">
        <v>255.99</v>
      </c>
      <c r="T972">
        <v>3455.91</v>
      </c>
      <c r="U972" t="s">
        <v>39</v>
      </c>
    </row>
    <row r="973" spans="1:21" x14ac:dyDescent="0.35">
      <c r="A973" t="s">
        <v>1087</v>
      </c>
      <c r="B973" s="1">
        <v>45960</v>
      </c>
      <c r="C973">
        <v>2025</v>
      </c>
      <c r="D973" t="s">
        <v>91</v>
      </c>
      <c r="E973" t="s">
        <v>92</v>
      </c>
      <c r="F973" t="s">
        <v>24</v>
      </c>
      <c r="G973" t="s">
        <v>93</v>
      </c>
      <c r="H973" t="s">
        <v>84</v>
      </c>
      <c r="I973" t="s">
        <v>85</v>
      </c>
      <c r="J973" t="s">
        <v>47</v>
      </c>
      <c r="K973" t="s">
        <v>48</v>
      </c>
      <c r="L973" t="s">
        <v>30</v>
      </c>
      <c r="M973">
        <v>25</v>
      </c>
      <c r="N973">
        <v>249.99</v>
      </c>
      <c r="O973">
        <v>6249.75</v>
      </c>
      <c r="P973">
        <v>0.08</v>
      </c>
      <c r="Q973">
        <v>499.98</v>
      </c>
      <c r="R973">
        <v>5749.77</v>
      </c>
      <c r="S973">
        <v>459.98</v>
      </c>
      <c r="T973">
        <v>6209.75</v>
      </c>
      <c r="U973" t="s">
        <v>39</v>
      </c>
    </row>
    <row r="974" spans="1:21" x14ac:dyDescent="0.35">
      <c r="A974" t="s">
        <v>1088</v>
      </c>
      <c r="B974" s="1">
        <v>45960</v>
      </c>
      <c r="C974">
        <v>2025</v>
      </c>
      <c r="D974" t="s">
        <v>33</v>
      </c>
      <c r="E974" t="s">
        <v>34</v>
      </c>
      <c r="F974" t="s">
        <v>35</v>
      </c>
      <c r="G974" t="s">
        <v>36</v>
      </c>
      <c r="H974" t="s">
        <v>78</v>
      </c>
      <c r="I974" t="s">
        <v>79</v>
      </c>
      <c r="J974" t="s">
        <v>28</v>
      </c>
      <c r="K974" t="s">
        <v>60</v>
      </c>
      <c r="L974" t="s">
        <v>38</v>
      </c>
      <c r="M974">
        <v>7</v>
      </c>
      <c r="N974">
        <v>5.99</v>
      </c>
      <c r="O974">
        <v>41.93</v>
      </c>
      <c r="P974">
        <v>0.08</v>
      </c>
      <c r="Q974">
        <v>3.35</v>
      </c>
      <c r="R974">
        <v>38.58</v>
      </c>
      <c r="S974">
        <v>3.09</v>
      </c>
      <c r="T974">
        <v>41.67</v>
      </c>
      <c r="U974" t="s">
        <v>39</v>
      </c>
    </row>
    <row r="975" spans="1:21" x14ac:dyDescent="0.35">
      <c r="A975" t="s">
        <v>1089</v>
      </c>
      <c r="B975" s="1">
        <v>45963</v>
      </c>
      <c r="C975">
        <v>2025</v>
      </c>
      <c r="D975" t="s">
        <v>122</v>
      </c>
      <c r="E975" t="s">
        <v>123</v>
      </c>
      <c r="F975" t="s">
        <v>64</v>
      </c>
      <c r="G975" t="s">
        <v>124</v>
      </c>
      <c r="H975" t="s">
        <v>125</v>
      </c>
      <c r="I975" t="s">
        <v>126</v>
      </c>
      <c r="J975" t="s">
        <v>28</v>
      </c>
      <c r="K975" t="s">
        <v>48</v>
      </c>
      <c r="L975" t="s">
        <v>30</v>
      </c>
      <c r="M975">
        <v>23</v>
      </c>
      <c r="N975">
        <v>79.989999999999995</v>
      </c>
      <c r="O975">
        <v>1839.77</v>
      </c>
      <c r="P975">
        <v>0.08</v>
      </c>
      <c r="Q975">
        <v>147.18</v>
      </c>
      <c r="R975">
        <v>1692.59</v>
      </c>
      <c r="S975">
        <v>135.41</v>
      </c>
      <c r="T975">
        <v>1828</v>
      </c>
      <c r="U975" t="s">
        <v>39</v>
      </c>
    </row>
    <row r="976" spans="1:21" x14ac:dyDescent="0.35">
      <c r="A976" t="s">
        <v>1090</v>
      </c>
      <c r="B976" s="1">
        <v>45964</v>
      </c>
      <c r="C976">
        <v>2025</v>
      </c>
      <c r="D976" t="s">
        <v>62</v>
      </c>
      <c r="E976" t="s">
        <v>63</v>
      </c>
      <c r="F976" t="s">
        <v>64</v>
      </c>
      <c r="G976" t="s">
        <v>65</v>
      </c>
      <c r="H976" t="s">
        <v>104</v>
      </c>
      <c r="I976" t="s">
        <v>105</v>
      </c>
      <c r="J976" t="s">
        <v>47</v>
      </c>
      <c r="K976" t="s">
        <v>48</v>
      </c>
      <c r="L976" t="s">
        <v>49</v>
      </c>
      <c r="M976">
        <v>2</v>
      </c>
      <c r="N976">
        <v>479.99</v>
      </c>
      <c r="O976">
        <v>959.98</v>
      </c>
      <c r="P976">
        <v>0</v>
      </c>
      <c r="Q976">
        <v>0</v>
      </c>
      <c r="R976">
        <v>959.98</v>
      </c>
      <c r="S976">
        <v>76.8</v>
      </c>
      <c r="T976">
        <v>1036.78</v>
      </c>
      <c r="U976" t="s">
        <v>39</v>
      </c>
    </row>
    <row r="977" spans="1:21" x14ac:dyDescent="0.35">
      <c r="A977" t="s">
        <v>1091</v>
      </c>
      <c r="B977" s="1">
        <v>45967</v>
      </c>
      <c r="C977">
        <v>2025</v>
      </c>
      <c r="D977" t="s">
        <v>148</v>
      </c>
      <c r="E977" t="s">
        <v>149</v>
      </c>
      <c r="F977" t="s">
        <v>43</v>
      </c>
      <c r="G977" t="s">
        <v>150</v>
      </c>
      <c r="H977" t="s">
        <v>104</v>
      </c>
      <c r="I977" t="s">
        <v>105</v>
      </c>
      <c r="J977" t="s">
        <v>47</v>
      </c>
      <c r="K977" t="s">
        <v>37</v>
      </c>
      <c r="L977" t="s">
        <v>38</v>
      </c>
      <c r="M977">
        <v>29</v>
      </c>
      <c r="N977">
        <v>479.99</v>
      </c>
      <c r="O977">
        <v>13919.71</v>
      </c>
      <c r="P977">
        <v>0.16</v>
      </c>
      <c r="Q977">
        <v>2227.15</v>
      </c>
      <c r="R977">
        <v>11692.56</v>
      </c>
      <c r="S977">
        <v>935.4</v>
      </c>
      <c r="T977">
        <v>12627.96</v>
      </c>
      <c r="U977" t="s">
        <v>39</v>
      </c>
    </row>
    <row r="978" spans="1:21" x14ac:dyDescent="0.35">
      <c r="A978" t="s">
        <v>1092</v>
      </c>
      <c r="B978" s="1">
        <v>45968</v>
      </c>
      <c r="C978">
        <v>2025</v>
      </c>
      <c r="D978" t="s">
        <v>186</v>
      </c>
      <c r="E978" t="s">
        <v>187</v>
      </c>
      <c r="F978" t="s">
        <v>43</v>
      </c>
      <c r="G978" t="s">
        <v>188</v>
      </c>
      <c r="H978" t="s">
        <v>125</v>
      </c>
      <c r="I978" t="s">
        <v>126</v>
      </c>
      <c r="J978" t="s">
        <v>28</v>
      </c>
      <c r="K978" t="s">
        <v>37</v>
      </c>
      <c r="L978" t="s">
        <v>49</v>
      </c>
      <c r="M978">
        <v>8</v>
      </c>
      <c r="N978">
        <v>79.989999999999995</v>
      </c>
      <c r="O978">
        <v>639.91999999999996</v>
      </c>
      <c r="P978">
        <v>0</v>
      </c>
      <c r="Q978">
        <v>0</v>
      </c>
      <c r="R978">
        <v>639.91999999999996</v>
      </c>
      <c r="S978">
        <v>51.19</v>
      </c>
      <c r="T978">
        <v>691.11</v>
      </c>
      <c r="U978" t="s">
        <v>39</v>
      </c>
    </row>
    <row r="979" spans="1:21" x14ac:dyDescent="0.35">
      <c r="A979" t="s">
        <v>1093</v>
      </c>
      <c r="B979" s="1">
        <v>45971</v>
      </c>
      <c r="C979">
        <v>2025</v>
      </c>
      <c r="D979" t="s">
        <v>87</v>
      </c>
      <c r="E979" t="s">
        <v>88</v>
      </c>
      <c r="F979" t="s">
        <v>24</v>
      </c>
      <c r="G979" t="s">
        <v>89</v>
      </c>
      <c r="H979" t="s">
        <v>208</v>
      </c>
      <c r="I979" t="s">
        <v>209</v>
      </c>
      <c r="J979" t="s">
        <v>47</v>
      </c>
      <c r="K979" t="s">
        <v>37</v>
      </c>
      <c r="L979" t="s">
        <v>73</v>
      </c>
      <c r="M979">
        <v>16</v>
      </c>
      <c r="N979">
        <v>49.99</v>
      </c>
      <c r="O979">
        <v>799.84</v>
      </c>
      <c r="P979">
        <v>0.05</v>
      </c>
      <c r="Q979">
        <v>39.99</v>
      </c>
      <c r="R979">
        <v>759.85</v>
      </c>
      <c r="S979">
        <v>60.79</v>
      </c>
      <c r="T979">
        <v>820.64</v>
      </c>
      <c r="U979" t="s">
        <v>39</v>
      </c>
    </row>
    <row r="980" spans="1:21" x14ac:dyDescent="0.35">
      <c r="A980" t="s">
        <v>1094</v>
      </c>
      <c r="B980" s="1">
        <v>45978</v>
      </c>
      <c r="C980">
        <v>2025</v>
      </c>
      <c r="D980" t="s">
        <v>75</v>
      </c>
      <c r="E980" t="s">
        <v>76</v>
      </c>
      <c r="F980" t="s">
        <v>64</v>
      </c>
      <c r="G980" t="s">
        <v>77</v>
      </c>
      <c r="H980" t="s">
        <v>71</v>
      </c>
      <c r="I980" t="s">
        <v>72</v>
      </c>
      <c r="J980" t="s">
        <v>47</v>
      </c>
      <c r="K980" t="s">
        <v>37</v>
      </c>
      <c r="L980" t="s">
        <v>30</v>
      </c>
      <c r="M980">
        <v>25</v>
      </c>
      <c r="N980">
        <v>1199.99</v>
      </c>
      <c r="O980">
        <v>29999.75</v>
      </c>
      <c r="P980">
        <v>0.08</v>
      </c>
      <c r="Q980">
        <v>2399.98</v>
      </c>
      <c r="R980">
        <v>27599.77</v>
      </c>
      <c r="S980">
        <v>2207.98</v>
      </c>
      <c r="T980">
        <v>29807.75</v>
      </c>
      <c r="U980" t="s">
        <v>39</v>
      </c>
    </row>
    <row r="981" spans="1:21" x14ac:dyDescent="0.35">
      <c r="A981" t="s">
        <v>1095</v>
      </c>
      <c r="B981" s="1">
        <v>45980</v>
      </c>
      <c r="C981">
        <v>2025</v>
      </c>
      <c r="D981" t="s">
        <v>75</v>
      </c>
      <c r="E981" t="s">
        <v>76</v>
      </c>
      <c r="F981" t="s">
        <v>64</v>
      </c>
      <c r="G981" t="s">
        <v>77</v>
      </c>
      <c r="H981" t="s">
        <v>78</v>
      </c>
      <c r="I981" t="s">
        <v>79</v>
      </c>
      <c r="J981" t="s">
        <v>28</v>
      </c>
      <c r="K981" t="s">
        <v>68</v>
      </c>
      <c r="L981" t="s">
        <v>73</v>
      </c>
      <c r="M981">
        <v>16</v>
      </c>
      <c r="N981">
        <v>5.99</v>
      </c>
      <c r="O981">
        <v>95.84</v>
      </c>
      <c r="P981">
        <v>0.05</v>
      </c>
      <c r="Q981">
        <v>4.79</v>
      </c>
      <c r="R981">
        <v>91.05</v>
      </c>
      <c r="S981">
        <v>7.28</v>
      </c>
      <c r="T981">
        <v>98.33</v>
      </c>
      <c r="U981" t="s">
        <v>39</v>
      </c>
    </row>
    <row r="982" spans="1:21" x14ac:dyDescent="0.35">
      <c r="A982" t="s">
        <v>1096</v>
      </c>
      <c r="B982" s="1">
        <v>45983</v>
      </c>
      <c r="C982">
        <v>2025</v>
      </c>
      <c r="D982" t="s">
        <v>186</v>
      </c>
      <c r="E982" t="s">
        <v>187</v>
      </c>
      <c r="F982" t="s">
        <v>43</v>
      </c>
      <c r="G982" t="s">
        <v>188</v>
      </c>
      <c r="H982" t="s">
        <v>208</v>
      </c>
      <c r="I982" t="s">
        <v>209</v>
      </c>
      <c r="J982" t="s">
        <v>47</v>
      </c>
      <c r="K982" t="s">
        <v>48</v>
      </c>
      <c r="L982" t="s">
        <v>38</v>
      </c>
      <c r="M982">
        <v>24</v>
      </c>
      <c r="N982">
        <v>49.99</v>
      </c>
      <c r="O982">
        <v>1199.76</v>
      </c>
      <c r="P982">
        <v>0.16</v>
      </c>
      <c r="Q982">
        <v>191.96</v>
      </c>
      <c r="R982">
        <v>1007.8</v>
      </c>
      <c r="S982">
        <v>80.62</v>
      </c>
      <c r="T982">
        <v>1088.42</v>
      </c>
      <c r="U982" t="s">
        <v>111</v>
      </c>
    </row>
    <row r="983" spans="1:21" x14ac:dyDescent="0.35">
      <c r="A983" t="s">
        <v>1097</v>
      </c>
      <c r="B983" s="1">
        <v>45984</v>
      </c>
      <c r="C983">
        <v>2025</v>
      </c>
      <c r="D983" t="s">
        <v>33</v>
      </c>
      <c r="E983" t="s">
        <v>34</v>
      </c>
      <c r="F983" t="s">
        <v>35</v>
      </c>
      <c r="G983" t="s">
        <v>36</v>
      </c>
      <c r="H983" t="s">
        <v>104</v>
      </c>
      <c r="I983" t="s">
        <v>105</v>
      </c>
      <c r="J983" t="s">
        <v>47</v>
      </c>
      <c r="K983" t="s">
        <v>29</v>
      </c>
      <c r="L983" t="s">
        <v>73</v>
      </c>
      <c r="M983">
        <v>4</v>
      </c>
      <c r="N983">
        <v>479.99</v>
      </c>
      <c r="O983">
        <v>1919.96</v>
      </c>
      <c r="P983">
        <v>0</v>
      </c>
      <c r="Q983">
        <v>0</v>
      </c>
      <c r="R983">
        <v>1919.96</v>
      </c>
      <c r="S983">
        <v>153.6</v>
      </c>
      <c r="T983">
        <v>2073.56</v>
      </c>
      <c r="U983" t="s">
        <v>39</v>
      </c>
    </row>
    <row r="984" spans="1:21" x14ac:dyDescent="0.35">
      <c r="A984" t="s">
        <v>1098</v>
      </c>
      <c r="B984" s="1">
        <v>45985</v>
      </c>
      <c r="C984">
        <v>2025</v>
      </c>
      <c r="D984" t="s">
        <v>107</v>
      </c>
      <c r="E984" t="s">
        <v>108</v>
      </c>
      <c r="F984" t="s">
        <v>35</v>
      </c>
      <c r="G984" t="s">
        <v>109</v>
      </c>
      <c r="H984" t="s">
        <v>125</v>
      </c>
      <c r="I984" t="s">
        <v>126</v>
      </c>
      <c r="J984" t="s">
        <v>28</v>
      </c>
      <c r="K984" t="s">
        <v>29</v>
      </c>
      <c r="L984" t="s">
        <v>38</v>
      </c>
      <c r="M984">
        <v>15</v>
      </c>
      <c r="N984">
        <v>79.989999999999995</v>
      </c>
      <c r="O984">
        <v>1199.8499999999999</v>
      </c>
      <c r="P984">
        <v>0.13</v>
      </c>
      <c r="Q984">
        <v>155.97999999999999</v>
      </c>
      <c r="R984">
        <v>1043.8699999999999</v>
      </c>
      <c r="S984">
        <v>83.51</v>
      </c>
      <c r="T984">
        <v>1127.3800000000001</v>
      </c>
      <c r="U984" t="s">
        <v>39</v>
      </c>
    </row>
    <row r="985" spans="1:21" x14ac:dyDescent="0.35">
      <c r="A985" t="s">
        <v>1099</v>
      </c>
      <c r="B985" s="1">
        <v>45988</v>
      </c>
      <c r="C985">
        <v>2025</v>
      </c>
      <c r="D985" t="s">
        <v>51</v>
      </c>
      <c r="E985" t="s">
        <v>52</v>
      </c>
      <c r="F985" t="s">
        <v>24</v>
      </c>
      <c r="G985" t="s">
        <v>53</v>
      </c>
      <c r="H985" t="s">
        <v>66</v>
      </c>
      <c r="I985" t="s">
        <v>67</v>
      </c>
      <c r="J985" t="s">
        <v>56</v>
      </c>
      <c r="K985" t="s">
        <v>60</v>
      </c>
      <c r="L985" t="s">
        <v>30</v>
      </c>
      <c r="M985">
        <v>6</v>
      </c>
      <c r="N985">
        <v>229.99</v>
      </c>
      <c r="O985">
        <v>1379.94</v>
      </c>
      <c r="P985">
        <v>0</v>
      </c>
      <c r="Q985">
        <v>0</v>
      </c>
      <c r="R985">
        <v>1379.94</v>
      </c>
      <c r="S985">
        <v>110.4</v>
      </c>
      <c r="T985">
        <v>1490.34</v>
      </c>
      <c r="U985" t="s">
        <v>39</v>
      </c>
    </row>
    <row r="986" spans="1:21" x14ac:dyDescent="0.35">
      <c r="A986" t="s">
        <v>1100</v>
      </c>
      <c r="B986" s="1">
        <v>45988</v>
      </c>
      <c r="C986">
        <v>2025</v>
      </c>
      <c r="D986" t="s">
        <v>186</v>
      </c>
      <c r="E986" t="s">
        <v>187</v>
      </c>
      <c r="F986" t="s">
        <v>43</v>
      </c>
      <c r="G986" t="s">
        <v>188</v>
      </c>
      <c r="H986" t="s">
        <v>84</v>
      </c>
      <c r="I986" t="s">
        <v>85</v>
      </c>
      <c r="J986" t="s">
        <v>47</v>
      </c>
      <c r="K986" t="s">
        <v>37</v>
      </c>
      <c r="L986" t="s">
        <v>69</v>
      </c>
      <c r="M986">
        <v>12</v>
      </c>
      <c r="N986">
        <v>249.99</v>
      </c>
      <c r="O986">
        <v>2999.88</v>
      </c>
      <c r="P986">
        <v>0.05</v>
      </c>
      <c r="Q986">
        <v>149.99</v>
      </c>
      <c r="R986">
        <v>2849.89</v>
      </c>
      <c r="S986">
        <v>227.99</v>
      </c>
      <c r="T986">
        <v>3077.88</v>
      </c>
      <c r="U986" t="s">
        <v>39</v>
      </c>
    </row>
    <row r="987" spans="1:21" x14ac:dyDescent="0.35">
      <c r="A987" t="s">
        <v>1101</v>
      </c>
      <c r="B987" s="1">
        <v>45990</v>
      </c>
      <c r="C987">
        <v>2025</v>
      </c>
      <c r="D987" t="s">
        <v>148</v>
      </c>
      <c r="E987" t="s">
        <v>149</v>
      </c>
      <c r="F987" t="s">
        <v>43</v>
      </c>
      <c r="G987" t="s">
        <v>150</v>
      </c>
      <c r="H987" t="s">
        <v>26</v>
      </c>
      <c r="I987" t="s">
        <v>27</v>
      </c>
      <c r="J987" t="s">
        <v>28</v>
      </c>
      <c r="K987" t="s">
        <v>48</v>
      </c>
      <c r="L987" t="s">
        <v>73</v>
      </c>
      <c r="M987">
        <v>19</v>
      </c>
      <c r="N987">
        <v>8.99</v>
      </c>
      <c r="O987">
        <v>170.81</v>
      </c>
      <c r="P987">
        <v>0.05</v>
      </c>
      <c r="Q987">
        <v>8.5399999999999991</v>
      </c>
      <c r="R987">
        <v>162.27000000000001</v>
      </c>
      <c r="S987">
        <v>12.98</v>
      </c>
      <c r="T987">
        <v>0</v>
      </c>
      <c r="U987" t="s">
        <v>31</v>
      </c>
    </row>
    <row r="988" spans="1:21" x14ac:dyDescent="0.35">
      <c r="A988" t="s">
        <v>1102</v>
      </c>
      <c r="B988" s="1">
        <v>45992</v>
      </c>
      <c r="C988">
        <v>2025</v>
      </c>
      <c r="D988" t="s">
        <v>75</v>
      </c>
      <c r="E988" t="s">
        <v>76</v>
      </c>
      <c r="F988" t="s">
        <v>64</v>
      </c>
      <c r="G988" t="s">
        <v>77</v>
      </c>
      <c r="H988" t="s">
        <v>100</v>
      </c>
      <c r="I988" t="s">
        <v>101</v>
      </c>
      <c r="J988" t="s">
        <v>47</v>
      </c>
      <c r="K988" t="s">
        <v>37</v>
      </c>
      <c r="L988" t="s">
        <v>73</v>
      </c>
      <c r="M988">
        <v>11</v>
      </c>
      <c r="N988">
        <v>29.99</v>
      </c>
      <c r="O988">
        <v>329.89</v>
      </c>
      <c r="P988">
        <v>0.05</v>
      </c>
      <c r="Q988">
        <v>16.489999999999998</v>
      </c>
      <c r="R988">
        <v>313.39999999999998</v>
      </c>
      <c r="S988">
        <v>25.07</v>
      </c>
      <c r="T988">
        <v>338.47</v>
      </c>
      <c r="U988" t="s">
        <v>39</v>
      </c>
    </row>
    <row r="989" spans="1:21" x14ac:dyDescent="0.35">
      <c r="A989" t="s">
        <v>1103</v>
      </c>
      <c r="B989" s="1">
        <v>45993</v>
      </c>
      <c r="C989">
        <v>2025</v>
      </c>
      <c r="D989" t="s">
        <v>87</v>
      </c>
      <c r="E989" t="s">
        <v>88</v>
      </c>
      <c r="F989" t="s">
        <v>24</v>
      </c>
      <c r="G989" t="s">
        <v>89</v>
      </c>
      <c r="H989" t="s">
        <v>45</v>
      </c>
      <c r="I989" t="s">
        <v>46</v>
      </c>
      <c r="J989" t="s">
        <v>47</v>
      </c>
      <c r="K989" t="s">
        <v>68</v>
      </c>
      <c r="L989" t="s">
        <v>30</v>
      </c>
      <c r="M989">
        <v>13</v>
      </c>
      <c r="N989">
        <v>89.99</v>
      </c>
      <c r="O989">
        <v>1169.8699999999999</v>
      </c>
      <c r="P989">
        <v>0.05</v>
      </c>
      <c r="Q989">
        <v>58.49</v>
      </c>
      <c r="R989">
        <v>1111.3800000000001</v>
      </c>
      <c r="S989">
        <v>88.91</v>
      </c>
      <c r="T989">
        <v>1200.29</v>
      </c>
      <c r="U989" t="s">
        <v>39</v>
      </c>
    </row>
    <row r="990" spans="1:21" x14ac:dyDescent="0.35">
      <c r="A990" t="s">
        <v>1104</v>
      </c>
      <c r="B990" s="1">
        <v>45996</v>
      </c>
      <c r="C990">
        <v>2025</v>
      </c>
      <c r="D990" t="s">
        <v>122</v>
      </c>
      <c r="E990" t="s">
        <v>123</v>
      </c>
      <c r="F990" t="s">
        <v>64</v>
      </c>
      <c r="G990" t="s">
        <v>124</v>
      </c>
      <c r="H990" t="s">
        <v>54</v>
      </c>
      <c r="I990" t="s">
        <v>55</v>
      </c>
      <c r="J990" t="s">
        <v>56</v>
      </c>
      <c r="K990" t="s">
        <v>48</v>
      </c>
      <c r="L990" t="s">
        <v>30</v>
      </c>
      <c r="M990">
        <v>1</v>
      </c>
      <c r="N990">
        <v>39.99</v>
      </c>
      <c r="O990">
        <v>39.99</v>
      </c>
      <c r="P990">
        <v>0</v>
      </c>
      <c r="Q990">
        <v>0</v>
      </c>
      <c r="R990">
        <v>39.99</v>
      </c>
      <c r="S990">
        <v>3.2</v>
      </c>
      <c r="T990">
        <v>43.19</v>
      </c>
      <c r="U990" t="s">
        <v>111</v>
      </c>
    </row>
    <row r="991" spans="1:21" x14ac:dyDescent="0.35">
      <c r="A991" t="s">
        <v>1105</v>
      </c>
      <c r="B991" s="1">
        <v>45996</v>
      </c>
      <c r="C991">
        <v>2025</v>
      </c>
      <c r="D991" t="s">
        <v>75</v>
      </c>
      <c r="E991" t="s">
        <v>76</v>
      </c>
      <c r="F991" t="s">
        <v>64</v>
      </c>
      <c r="G991" t="s">
        <v>77</v>
      </c>
      <c r="H991" t="s">
        <v>208</v>
      </c>
      <c r="I991" t="s">
        <v>209</v>
      </c>
      <c r="J991" t="s">
        <v>47</v>
      </c>
      <c r="K991" t="s">
        <v>68</v>
      </c>
      <c r="L991" t="s">
        <v>73</v>
      </c>
      <c r="M991">
        <v>8</v>
      </c>
      <c r="N991">
        <v>49.99</v>
      </c>
      <c r="O991">
        <v>399.92</v>
      </c>
      <c r="P991">
        <v>0</v>
      </c>
      <c r="Q991">
        <v>0</v>
      </c>
      <c r="R991">
        <v>399.92</v>
      </c>
      <c r="S991">
        <v>31.99</v>
      </c>
      <c r="T991">
        <v>431.91</v>
      </c>
      <c r="U991" t="s">
        <v>111</v>
      </c>
    </row>
    <row r="992" spans="1:21" x14ac:dyDescent="0.35">
      <c r="A992" t="s">
        <v>1106</v>
      </c>
      <c r="B992" s="1">
        <v>45999</v>
      </c>
      <c r="C992">
        <v>2025</v>
      </c>
      <c r="D992" t="s">
        <v>51</v>
      </c>
      <c r="E992" t="s">
        <v>52</v>
      </c>
      <c r="F992" t="s">
        <v>24</v>
      </c>
      <c r="G992" t="s">
        <v>53</v>
      </c>
      <c r="H992" t="s">
        <v>84</v>
      </c>
      <c r="I992" t="s">
        <v>85</v>
      </c>
      <c r="J992" t="s">
        <v>47</v>
      </c>
      <c r="K992" t="s">
        <v>29</v>
      </c>
      <c r="L992" t="s">
        <v>49</v>
      </c>
      <c r="M992">
        <v>28</v>
      </c>
      <c r="N992">
        <v>249.99</v>
      </c>
      <c r="O992">
        <v>6999.72</v>
      </c>
      <c r="P992">
        <v>0.08</v>
      </c>
      <c r="Q992">
        <v>559.98</v>
      </c>
      <c r="R992">
        <v>6439.74</v>
      </c>
      <c r="S992">
        <v>515.17999999999995</v>
      </c>
      <c r="T992">
        <v>6954.92</v>
      </c>
      <c r="U992" t="s">
        <v>39</v>
      </c>
    </row>
    <row r="993" spans="1:21" x14ac:dyDescent="0.35">
      <c r="A993" t="s">
        <v>1107</v>
      </c>
      <c r="B993" s="1">
        <v>46000</v>
      </c>
      <c r="C993">
        <v>2025</v>
      </c>
      <c r="D993" t="s">
        <v>33</v>
      </c>
      <c r="E993" t="s">
        <v>34</v>
      </c>
      <c r="F993" t="s">
        <v>35</v>
      </c>
      <c r="G993" t="s">
        <v>36</v>
      </c>
      <c r="H993" t="s">
        <v>94</v>
      </c>
      <c r="I993" t="s">
        <v>95</v>
      </c>
      <c r="J993" t="s">
        <v>56</v>
      </c>
      <c r="K993" t="s">
        <v>37</v>
      </c>
      <c r="L993" t="s">
        <v>49</v>
      </c>
      <c r="M993">
        <v>2</v>
      </c>
      <c r="N993">
        <v>349.99</v>
      </c>
      <c r="O993">
        <v>699.98</v>
      </c>
      <c r="P993">
        <v>0</v>
      </c>
      <c r="Q993">
        <v>0</v>
      </c>
      <c r="R993">
        <v>699.98</v>
      </c>
      <c r="S993">
        <v>56</v>
      </c>
      <c r="T993">
        <v>755.98</v>
      </c>
      <c r="U993" t="s">
        <v>39</v>
      </c>
    </row>
    <row r="994" spans="1:21" x14ac:dyDescent="0.35">
      <c r="A994" t="s">
        <v>1108</v>
      </c>
      <c r="B994" s="1">
        <v>46001</v>
      </c>
      <c r="C994">
        <v>2025</v>
      </c>
      <c r="D994" t="s">
        <v>148</v>
      </c>
      <c r="E994" t="s">
        <v>149</v>
      </c>
      <c r="F994" t="s">
        <v>43</v>
      </c>
      <c r="G994" t="s">
        <v>150</v>
      </c>
      <c r="H994" t="s">
        <v>45</v>
      </c>
      <c r="I994" t="s">
        <v>46</v>
      </c>
      <c r="J994" t="s">
        <v>47</v>
      </c>
      <c r="K994" t="s">
        <v>37</v>
      </c>
      <c r="L994" t="s">
        <v>73</v>
      </c>
      <c r="M994">
        <v>6</v>
      </c>
      <c r="N994">
        <v>89.99</v>
      </c>
      <c r="O994">
        <v>539.94000000000005</v>
      </c>
      <c r="P994">
        <v>0</v>
      </c>
      <c r="Q994">
        <v>0</v>
      </c>
      <c r="R994">
        <v>539.94000000000005</v>
      </c>
      <c r="S994">
        <v>43.2</v>
      </c>
      <c r="T994">
        <v>583.14</v>
      </c>
      <c r="U994" t="s">
        <v>39</v>
      </c>
    </row>
    <row r="995" spans="1:21" x14ac:dyDescent="0.35">
      <c r="A995" t="s">
        <v>1109</v>
      </c>
      <c r="B995" s="1">
        <v>46002</v>
      </c>
      <c r="C995">
        <v>2025</v>
      </c>
      <c r="D995" t="s">
        <v>87</v>
      </c>
      <c r="E995" t="s">
        <v>88</v>
      </c>
      <c r="F995" t="s">
        <v>24</v>
      </c>
      <c r="G995" t="s">
        <v>89</v>
      </c>
      <c r="H995" t="s">
        <v>84</v>
      </c>
      <c r="I995" t="s">
        <v>85</v>
      </c>
      <c r="J995" t="s">
        <v>47</v>
      </c>
      <c r="K995" t="s">
        <v>29</v>
      </c>
      <c r="L995" t="s">
        <v>49</v>
      </c>
      <c r="M995">
        <v>11</v>
      </c>
      <c r="N995">
        <v>249.99</v>
      </c>
      <c r="O995">
        <v>2749.89</v>
      </c>
      <c r="P995">
        <v>0.05</v>
      </c>
      <c r="Q995">
        <v>137.49</v>
      </c>
      <c r="R995">
        <v>2612.4</v>
      </c>
      <c r="S995">
        <v>208.99</v>
      </c>
      <c r="T995">
        <v>2821.39</v>
      </c>
      <c r="U995" t="s">
        <v>39</v>
      </c>
    </row>
    <row r="996" spans="1:21" x14ac:dyDescent="0.35">
      <c r="A996" t="s">
        <v>1110</v>
      </c>
      <c r="B996" s="1">
        <v>46007</v>
      </c>
      <c r="C996">
        <v>2025</v>
      </c>
      <c r="D996" t="s">
        <v>81</v>
      </c>
      <c r="E996" t="s">
        <v>82</v>
      </c>
      <c r="F996" t="s">
        <v>35</v>
      </c>
      <c r="G996" t="s">
        <v>83</v>
      </c>
      <c r="H996" t="s">
        <v>66</v>
      </c>
      <c r="I996" t="s">
        <v>67</v>
      </c>
      <c r="J996" t="s">
        <v>56</v>
      </c>
      <c r="K996" t="s">
        <v>29</v>
      </c>
      <c r="L996" t="s">
        <v>49</v>
      </c>
      <c r="M996">
        <v>6</v>
      </c>
      <c r="N996">
        <v>229.99</v>
      </c>
      <c r="O996">
        <v>1379.94</v>
      </c>
      <c r="P996">
        <v>0</v>
      </c>
      <c r="Q996">
        <v>0</v>
      </c>
      <c r="R996">
        <v>1379.94</v>
      </c>
      <c r="S996">
        <v>110.4</v>
      </c>
      <c r="T996">
        <v>1490.34</v>
      </c>
      <c r="U996" t="s">
        <v>39</v>
      </c>
    </row>
    <row r="997" spans="1:21" x14ac:dyDescent="0.35">
      <c r="A997" t="s">
        <v>1111</v>
      </c>
      <c r="B997" s="1">
        <v>46007</v>
      </c>
      <c r="C997">
        <v>2025</v>
      </c>
      <c r="D997" t="s">
        <v>107</v>
      </c>
      <c r="E997" t="s">
        <v>108</v>
      </c>
      <c r="F997" t="s">
        <v>35</v>
      </c>
      <c r="G997" t="s">
        <v>109</v>
      </c>
      <c r="H997" t="s">
        <v>94</v>
      </c>
      <c r="I997" t="s">
        <v>95</v>
      </c>
      <c r="J997" t="s">
        <v>56</v>
      </c>
      <c r="K997" t="s">
        <v>48</v>
      </c>
      <c r="L997" t="s">
        <v>30</v>
      </c>
      <c r="M997">
        <v>2</v>
      </c>
      <c r="N997">
        <v>349.99</v>
      </c>
      <c r="O997">
        <v>699.98</v>
      </c>
      <c r="P997">
        <v>0</v>
      </c>
      <c r="Q997">
        <v>0</v>
      </c>
      <c r="R997">
        <v>699.98</v>
      </c>
      <c r="S997">
        <v>56</v>
      </c>
      <c r="T997">
        <v>755.98</v>
      </c>
      <c r="U997" t="s">
        <v>39</v>
      </c>
    </row>
    <row r="998" spans="1:21" x14ac:dyDescent="0.35">
      <c r="A998" t="s">
        <v>1112</v>
      </c>
      <c r="B998" s="1">
        <v>46013</v>
      </c>
      <c r="C998">
        <v>2025</v>
      </c>
      <c r="D998" t="s">
        <v>62</v>
      </c>
      <c r="E998" t="s">
        <v>63</v>
      </c>
      <c r="F998" t="s">
        <v>64</v>
      </c>
      <c r="G998" t="s">
        <v>65</v>
      </c>
      <c r="H998" t="s">
        <v>145</v>
      </c>
      <c r="I998" t="s">
        <v>146</v>
      </c>
      <c r="J998" t="s">
        <v>47</v>
      </c>
      <c r="K998" t="s">
        <v>29</v>
      </c>
      <c r="L998" t="s">
        <v>30</v>
      </c>
      <c r="M998">
        <v>26</v>
      </c>
      <c r="N998">
        <v>129.99</v>
      </c>
      <c r="O998">
        <v>3379.74</v>
      </c>
      <c r="P998">
        <v>0.08</v>
      </c>
      <c r="Q998">
        <v>270.38</v>
      </c>
      <c r="R998">
        <v>3109.36</v>
      </c>
      <c r="S998">
        <v>248.75</v>
      </c>
      <c r="T998">
        <v>0</v>
      </c>
      <c r="U998" t="s">
        <v>31</v>
      </c>
    </row>
    <row r="999" spans="1:21" x14ac:dyDescent="0.35">
      <c r="A999" t="s">
        <v>1113</v>
      </c>
      <c r="B999" s="1">
        <v>46014</v>
      </c>
      <c r="C999">
        <v>2025</v>
      </c>
      <c r="D999" t="s">
        <v>22</v>
      </c>
      <c r="E999" t="s">
        <v>23</v>
      </c>
      <c r="F999" t="s">
        <v>24</v>
      </c>
      <c r="G999" t="s">
        <v>25</v>
      </c>
      <c r="H999" t="s">
        <v>94</v>
      </c>
      <c r="I999" t="s">
        <v>95</v>
      </c>
      <c r="J999" t="s">
        <v>56</v>
      </c>
      <c r="K999" t="s">
        <v>60</v>
      </c>
      <c r="L999" t="s">
        <v>38</v>
      </c>
      <c r="M999">
        <v>19</v>
      </c>
      <c r="N999">
        <v>349.99</v>
      </c>
      <c r="O999">
        <v>6649.81</v>
      </c>
      <c r="P999">
        <v>0.13</v>
      </c>
      <c r="Q999">
        <v>864.48</v>
      </c>
      <c r="R999">
        <v>5785.33</v>
      </c>
      <c r="S999">
        <v>462.83</v>
      </c>
      <c r="T999">
        <v>6248.16</v>
      </c>
      <c r="U999" t="s">
        <v>39</v>
      </c>
    </row>
    <row r="1000" spans="1:21" x14ac:dyDescent="0.35">
      <c r="A1000" t="s">
        <v>1114</v>
      </c>
      <c r="B1000" s="1">
        <v>46014</v>
      </c>
      <c r="C1000">
        <v>2025</v>
      </c>
      <c r="D1000" t="s">
        <v>81</v>
      </c>
      <c r="E1000" t="s">
        <v>82</v>
      </c>
      <c r="F1000" t="s">
        <v>35</v>
      </c>
      <c r="G1000" t="s">
        <v>83</v>
      </c>
      <c r="H1000" t="s">
        <v>128</v>
      </c>
      <c r="I1000" t="s">
        <v>129</v>
      </c>
      <c r="J1000" t="s">
        <v>47</v>
      </c>
      <c r="K1000" t="s">
        <v>60</v>
      </c>
      <c r="L1000" t="s">
        <v>30</v>
      </c>
      <c r="M1000">
        <v>18</v>
      </c>
      <c r="N1000">
        <v>399.99</v>
      </c>
      <c r="O1000">
        <v>7199.82</v>
      </c>
      <c r="P1000">
        <v>0.05</v>
      </c>
      <c r="Q1000">
        <v>359.99</v>
      </c>
      <c r="R1000">
        <v>6839.83</v>
      </c>
      <c r="S1000">
        <v>547.19000000000005</v>
      </c>
      <c r="T1000">
        <v>7387.02</v>
      </c>
      <c r="U1000" t="s">
        <v>39</v>
      </c>
    </row>
    <row r="1001" spans="1:21" x14ac:dyDescent="0.35">
      <c r="A1001" t="s">
        <v>1115</v>
      </c>
      <c r="B1001" s="1">
        <v>46019</v>
      </c>
      <c r="C1001">
        <v>2025</v>
      </c>
      <c r="D1001" t="s">
        <v>97</v>
      </c>
      <c r="E1001" t="s">
        <v>98</v>
      </c>
      <c r="F1001" t="s">
        <v>35</v>
      </c>
      <c r="G1001" t="s">
        <v>99</v>
      </c>
      <c r="H1001" t="s">
        <v>66</v>
      </c>
      <c r="I1001" t="s">
        <v>67</v>
      </c>
      <c r="J1001" t="s">
        <v>56</v>
      </c>
      <c r="K1001" t="s">
        <v>48</v>
      </c>
      <c r="L1001" t="s">
        <v>30</v>
      </c>
      <c r="M1001">
        <v>22</v>
      </c>
      <c r="N1001">
        <v>229.99</v>
      </c>
      <c r="O1001">
        <v>5059.78</v>
      </c>
      <c r="P1001">
        <v>0.08</v>
      </c>
      <c r="Q1001">
        <v>404.78</v>
      </c>
      <c r="R1001">
        <v>4655</v>
      </c>
      <c r="S1001">
        <v>372.4</v>
      </c>
      <c r="T1001">
        <v>5027.3999999999996</v>
      </c>
      <c r="U1001" t="s">
        <v>111</v>
      </c>
    </row>
    <row r="1002" spans="1:21" x14ac:dyDescent="0.35">
      <c r="A1002" t="s">
        <v>1116</v>
      </c>
      <c r="B1002" s="1">
        <v>46020</v>
      </c>
      <c r="C1002">
        <v>2025</v>
      </c>
      <c r="D1002" t="s">
        <v>97</v>
      </c>
      <c r="E1002" t="s">
        <v>98</v>
      </c>
      <c r="F1002" t="s">
        <v>35</v>
      </c>
      <c r="G1002" t="s">
        <v>99</v>
      </c>
      <c r="H1002" t="s">
        <v>71</v>
      </c>
      <c r="I1002" t="s">
        <v>72</v>
      </c>
      <c r="J1002" t="s">
        <v>47</v>
      </c>
      <c r="K1002" t="s">
        <v>48</v>
      </c>
      <c r="L1002" t="s">
        <v>38</v>
      </c>
      <c r="M1002">
        <v>26</v>
      </c>
      <c r="N1002">
        <v>1199.99</v>
      </c>
      <c r="O1002">
        <v>31199.74</v>
      </c>
      <c r="P1002">
        <v>0.16</v>
      </c>
      <c r="Q1002">
        <v>4991.96</v>
      </c>
      <c r="R1002">
        <v>26207.78</v>
      </c>
      <c r="S1002">
        <v>2096.62</v>
      </c>
      <c r="T1002">
        <v>28304.400000000001</v>
      </c>
      <c r="U1002" t="s">
        <v>39</v>
      </c>
    </row>
    <row r="1003" spans="1:21" x14ac:dyDescent="0.35">
      <c r="A1003" t="s">
        <v>1117</v>
      </c>
      <c r="B1003" s="1">
        <v>46021</v>
      </c>
      <c r="C1003">
        <v>2025</v>
      </c>
      <c r="D1003" t="s">
        <v>186</v>
      </c>
      <c r="E1003" t="s">
        <v>187</v>
      </c>
      <c r="F1003" t="s">
        <v>43</v>
      </c>
      <c r="G1003" t="s">
        <v>188</v>
      </c>
      <c r="H1003" t="s">
        <v>94</v>
      </c>
      <c r="I1003" t="s">
        <v>95</v>
      </c>
      <c r="J1003" t="s">
        <v>56</v>
      </c>
      <c r="K1003" t="s">
        <v>60</v>
      </c>
      <c r="L1003" t="s">
        <v>73</v>
      </c>
      <c r="M1003">
        <v>23</v>
      </c>
      <c r="N1003">
        <v>349.99</v>
      </c>
      <c r="O1003">
        <v>8049.77</v>
      </c>
      <c r="P1003">
        <v>0.08</v>
      </c>
      <c r="Q1003">
        <v>643.98</v>
      </c>
      <c r="R1003">
        <v>7405.79</v>
      </c>
      <c r="S1003">
        <v>592.46</v>
      </c>
      <c r="T1003">
        <v>7998.25</v>
      </c>
      <c r="U1003" t="s">
        <v>111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B6FA3-6935-4BA5-B551-818957BBA3B4}">
  <dimension ref="A1"/>
  <sheetViews>
    <sheetView showGridLines="0" tabSelected="1" zoomScale="89" zoomScaleNormal="89" workbookViewId="0">
      <selection activeCell="W5" sqref="W5"/>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57B9D-69C0-431F-BF2F-7BDCF835DD3A}">
  <dimension ref="A1"/>
  <sheetViews>
    <sheetView showGridLines="0" zoomScale="77" zoomScaleNormal="77" workbookViewId="0">
      <selection activeCell="W5" sqref="W5"/>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A5510-6C62-4DF2-9C52-EC091BEE5CAC}">
  <dimension ref="A1:S18"/>
  <sheetViews>
    <sheetView topLeftCell="D1" workbookViewId="0">
      <selection activeCell="S4" sqref="S4"/>
    </sheetView>
  </sheetViews>
  <sheetFormatPr defaultRowHeight="14.5" x14ac:dyDescent="0.35"/>
  <cols>
    <col min="1" max="1" width="9.81640625" bestFit="1" customWidth="1"/>
    <col min="15" max="15" width="7.81640625" bestFit="1" customWidth="1"/>
    <col min="16" max="16" width="6.7265625" customWidth="1"/>
    <col min="17" max="17" width="6.90625" customWidth="1"/>
    <col min="18" max="19" width="17.81640625" bestFit="1" customWidth="1"/>
  </cols>
  <sheetData>
    <row r="1" spans="1:19" x14ac:dyDescent="0.35">
      <c r="A1" s="16"/>
      <c r="B1" s="16" t="s">
        <v>1126</v>
      </c>
      <c r="C1" s="16" t="s">
        <v>1127</v>
      </c>
      <c r="D1" s="16" t="s">
        <v>1128</v>
      </c>
      <c r="E1" s="16" t="s">
        <v>1129</v>
      </c>
      <c r="G1" s="16"/>
      <c r="H1" s="16" t="s">
        <v>1142</v>
      </c>
      <c r="I1" s="16" t="s">
        <v>1143</v>
      </c>
      <c r="J1" s="16" t="s">
        <v>1144</v>
      </c>
      <c r="K1" s="16" t="s">
        <v>1145</v>
      </c>
      <c r="L1" s="16" t="s">
        <v>1146</v>
      </c>
      <c r="M1" s="16" t="s">
        <v>1194</v>
      </c>
      <c r="O1" s="16"/>
      <c r="P1" s="16" t="s">
        <v>1143</v>
      </c>
      <c r="Q1" s="16" t="s">
        <v>1144</v>
      </c>
      <c r="R1" s="16" t="s">
        <v>1195</v>
      </c>
      <c r="S1" s="16" t="s">
        <v>1195</v>
      </c>
    </row>
    <row r="2" spans="1:19" x14ac:dyDescent="0.35">
      <c r="A2" s="16" t="s">
        <v>1130</v>
      </c>
      <c r="B2" s="16">
        <v>100</v>
      </c>
      <c r="C2" s="16">
        <v>200</v>
      </c>
      <c r="D2" s="16">
        <v>300</v>
      </c>
      <c r="E2" s="16">
        <f>IF(AND(A2="Net Sales"),SUM(B2:D2),D2)</f>
        <v>600</v>
      </c>
      <c r="G2" s="16">
        <v>2026001</v>
      </c>
      <c r="H2" s="16">
        <v>123</v>
      </c>
      <c r="I2" s="16">
        <v>234</v>
      </c>
      <c r="J2" s="16">
        <v>231</v>
      </c>
      <c r="K2" s="16">
        <v>345</v>
      </c>
      <c r="L2" s="16">
        <v>0</v>
      </c>
      <c r="M2" s="16">
        <v>0</v>
      </c>
      <c r="O2" s="16">
        <v>2026001</v>
      </c>
      <c r="P2" s="16">
        <f>INDEX(G1:M3,MATCH(O2,G1:G3,0),MATCH(P1,G1:M1,0))</f>
        <v>234</v>
      </c>
      <c r="Q2" s="16" t="str">
        <f>LOOKUP(2, 1/(H2:M2&lt;&gt;0),H1:M1)</f>
        <v>Apr</v>
      </c>
      <c r="R2" s="16">
        <f>AVERAGE(INDEX($G$1:$M$8,MATCH(O2,$G$1:$G$8,0),MATCH(LOOKUP(2, 1/(H2:M2&lt;&gt;0),$H$1:$M$1),$G$1:$M$1,0)-2),INDEX(G1:M3,MATCH(O2,G1:G3,0),MATCH(LOOKUP(2, 1/(H2:M2&lt;&gt;0),H1:M1),G1:M1,0)-1),INDEX(G1:M3,MATCH(O2,G1:G3,0),MATCH(LOOKUP(2, 1/(H2:M2&lt;&gt;0),H1:M1),G1:M1,0)))</f>
        <v>270</v>
      </c>
      <c r="S2">
        <f t="shared" ref="S2:S8" si="0">AVERAGE(INDEX($G$1:$M$8,MATCH(O2,$G$1:$G$8,0),MATCH(LOOKUP(2,1/(H2:M2&lt;&gt;0),$H$1:$M$1),$G$1:$M$1,0)-2),INDEX($G$1:$M$8,MATCH(O2,$G$1:$G$8,0),MATCH(LOOKUP(2,1/(H2:M2&lt;&gt;0),$H$1:$M$1),$G$1:$M$1,0)-1),INDEX($G$1:$M$8,MATCH(O2,$G$1:$G$8,0),MATCH(LOOKUP(2,1/(H2:M2&lt;&gt;0),$H$1:$M$1),$G$1:$M$1,0)))</f>
        <v>270</v>
      </c>
    </row>
    <row r="3" spans="1:19" x14ac:dyDescent="0.35">
      <c r="A3" s="16" t="s">
        <v>1131</v>
      </c>
      <c r="B3" s="16">
        <v>23</v>
      </c>
      <c r="C3" s="16">
        <v>345</v>
      </c>
      <c r="D3" s="16">
        <v>12</v>
      </c>
      <c r="E3" s="16">
        <f t="shared" ref="E3" si="1">IF(AND(A3="Net Sales"),SUM(B3:D3),D3)</f>
        <v>12</v>
      </c>
      <c r="G3" s="16">
        <v>2026002</v>
      </c>
      <c r="H3" s="16">
        <v>231</v>
      </c>
      <c r="I3" s="16">
        <v>543</v>
      </c>
      <c r="J3" s="16">
        <v>432</v>
      </c>
      <c r="K3" s="16">
        <v>321</v>
      </c>
      <c r="L3" s="16">
        <v>654</v>
      </c>
      <c r="M3" s="16">
        <v>0</v>
      </c>
      <c r="O3" s="16">
        <v>2026002</v>
      </c>
      <c r="P3" s="16">
        <f>INDEX(G2:M4,MATCH(O3,G2:G4,0),MATCH(P2,G2:M2,0))</f>
        <v>543</v>
      </c>
      <c r="Q3" s="16" t="str">
        <f>LOOKUP(2,1/(H3:M3&lt;&gt;0),H1:M1)</f>
        <v>May</v>
      </c>
      <c r="R3" s="16">
        <f>AVERAGE(INDEX($G$1:$M$8,MATCH(O3,$G$1:$G$8,0),MATCH(LOOKUP(2, 1/(H3:M3&lt;&gt;0),$H$1:$M$1),$G$1:$M$1,0)-2),INDEX(G2:M4,MATCH(O3,G2:G4,0),MATCH(LOOKUP(2, 1/(H3:M3&lt;&gt;0),H2:M2),G2:M2,0)-1),INDEX(G2:M4,MATCH(O3,G2:G4,0),MATCH(LOOKUP(2, 1/(H3:M3&lt;&gt;0),H2:M2),G2:M2,0)))</f>
        <v>469</v>
      </c>
      <c r="S3">
        <f t="shared" si="0"/>
        <v>469</v>
      </c>
    </row>
    <row r="4" spans="1:19" x14ac:dyDescent="0.35">
      <c r="G4" s="16">
        <v>2026003</v>
      </c>
      <c r="H4" s="16">
        <v>339</v>
      </c>
      <c r="I4" s="16">
        <v>852</v>
      </c>
      <c r="J4">
        <v>12</v>
      </c>
      <c r="K4">
        <v>0</v>
      </c>
      <c r="L4">
        <v>0</v>
      </c>
      <c r="M4">
        <v>0</v>
      </c>
      <c r="O4" s="16">
        <v>2026003</v>
      </c>
      <c r="R4" s="16">
        <f>AVERAGE(INDEX($G$1:$M$8,MATCH(O4,$G$1:$G$8,0),MATCH(LOOKUP(2, 1/(H4:M4&lt;&gt;0),$H$1:$M$1),$G$1:$M$1,0)-2),INDEX(G3:M5,MATCH(O4,G3:G5,0),MATCH(LOOKUP(2, 1/(H4:M4&lt;&gt;0),H3:M3),G3:M3,0)-1),INDEX(G3:M5,MATCH(O4,G3:G5,0),MATCH(LOOKUP(2, 1/(H4:M4&lt;&gt;0),H3:M3),G3:M3,0)))</f>
        <v>401</v>
      </c>
      <c r="S4">
        <f t="shared" si="0"/>
        <v>401</v>
      </c>
    </row>
    <row r="5" spans="1:19" x14ac:dyDescent="0.35">
      <c r="G5" s="16">
        <v>2026004</v>
      </c>
      <c r="H5" s="16">
        <v>447</v>
      </c>
      <c r="I5" s="16">
        <v>1161</v>
      </c>
      <c r="J5" s="16">
        <v>234</v>
      </c>
      <c r="K5" s="20">
        <v>0</v>
      </c>
      <c r="L5" s="20">
        <v>0</v>
      </c>
      <c r="M5" s="20">
        <v>0</v>
      </c>
      <c r="O5" s="16">
        <v>2026004</v>
      </c>
      <c r="R5" s="16">
        <f t="shared" ref="R5:R8" si="2">AVERAGE(INDEX(G4:M6,MATCH(O5,G4:G6,0),MATCH(LOOKUP(2, 1/(H5:M5&lt;&gt;0),H4:M4),G4:M4,0)-2),INDEX(G4:M6,MATCH(O5,G4:G6,0),MATCH(LOOKUP(2, 1/(H5:M5&lt;&gt;0),H4:M4),G4:M4,0)-1),INDEX(G4:M6,MATCH(O5,G4:G6,0),MATCH(LOOKUP(2, 1/(H5:M5&lt;&gt;0),H4:M4),G4:M4,0)))</f>
        <v>614</v>
      </c>
      <c r="S5">
        <f t="shared" si="0"/>
        <v>614</v>
      </c>
    </row>
    <row r="6" spans="1:19" x14ac:dyDescent="0.35">
      <c r="A6" s="22" t="s">
        <v>1132</v>
      </c>
      <c r="B6" s="22"/>
      <c r="C6" s="22"/>
      <c r="D6" s="22"/>
      <c r="E6" s="22"/>
      <c r="G6" s="16">
        <v>2026005</v>
      </c>
      <c r="H6" s="16">
        <v>555</v>
      </c>
      <c r="I6" s="16">
        <v>1470</v>
      </c>
      <c r="J6" s="16">
        <v>231</v>
      </c>
      <c r="K6" s="20">
        <v>0</v>
      </c>
      <c r="L6" s="20">
        <v>0</v>
      </c>
      <c r="M6" s="20">
        <v>0</v>
      </c>
      <c r="O6" s="16">
        <v>2026005</v>
      </c>
      <c r="R6" s="16">
        <f t="shared" si="2"/>
        <v>752</v>
      </c>
      <c r="S6">
        <f t="shared" si="0"/>
        <v>752</v>
      </c>
    </row>
    <row r="7" spans="1:19" x14ac:dyDescent="0.35">
      <c r="G7" s="16">
        <v>2026006</v>
      </c>
      <c r="H7" s="16">
        <v>663</v>
      </c>
      <c r="I7" s="16">
        <v>1779</v>
      </c>
      <c r="J7" s="16">
        <v>339</v>
      </c>
      <c r="K7" s="16">
        <v>1470</v>
      </c>
      <c r="L7" s="21">
        <v>562</v>
      </c>
      <c r="M7" s="21">
        <v>0</v>
      </c>
      <c r="O7" s="16">
        <v>2026006</v>
      </c>
      <c r="R7" s="16">
        <f t="shared" si="2"/>
        <v>1196</v>
      </c>
      <c r="S7">
        <f t="shared" si="0"/>
        <v>790.33333333333337</v>
      </c>
    </row>
    <row r="8" spans="1:19" x14ac:dyDescent="0.35">
      <c r="A8" t="s">
        <v>1121</v>
      </c>
      <c r="B8" t="s">
        <v>1133</v>
      </c>
      <c r="G8" s="16">
        <v>2026007</v>
      </c>
      <c r="H8" s="16">
        <v>771</v>
      </c>
      <c r="I8" s="16">
        <v>2088</v>
      </c>
      <c r="J8" s="16">
        <v>447</v>
      </c>
      <c r="K8" s="16">
        <v>1779</v>
      </c>
      <c r="L8" s="21">
        <v>0</v>
      </c>
      <c r="M8" s="21">
        <v>0</v>
      </c>
      <c r="O8" s="16">
        <v>2026007</v>
      </c>
      <c r="R8" s="16">
        <f t="shared" si="2"/>
        <v>1438</v>
      </c>
      <c r="S8">
        <f t="shared" si="0"/>
        <v>1438</v>
      </c>
    </row>
    <row r="10" spans="1:19" x14ac:dyDescent="0.35">
      <c r="A10" s="22" t="s">
        <v>1134</v>
      </c>
      <c r="B10" s="22"/>
      <c r="C10" s="22"/>
      <c r="D10" s="22"/>
      <c r="E10" s="22"/>
    </row>
    <row r="12" spans="1:19" x14ac:dyDescent="0.35">
      <c r="A12" t="s">
        <v>1135</v>
      </c>
      <c r="B12" t="s">
        <v>1136</v>
      </c>
    </row>
    <row r="14" spans="1:19" x14ac:dyDescent="0.35">
      <c r="A14" s="22" t="s">
        <v>1137</v>
      </c>
      <c r="B14" s="22"/>
      <c r="C14" s="22"/>
      <c r="D14" s="22"/>
      <c r="E14" s="22"/>
    </row>
    <row r="16" spans="1:19" x14ac:dyDescent="0.35">
      <c r="A16" s="17" t="s">
        <v>1138</v>
      </c>
      <c r="B16" s="17" t="s">
        <v>1139</v>
      </c>
    </row>
    <row r="18" spans="1:2" x14ac:dyDescent="0.35">
      <c r="A18" t="s">
        <v>1140</v>
      </c>
      <c r="B18" t="s">
        <v>1141</v>
      </c>
    </row>
  </sheetData>
  <mergeCells count="3">
    <mergeCell ref="A6:E6"/>
    <mergeCell ref="A10:E10"/>
    <mergeCell ref="A14:E14"/>
  </mergeCells>
  <phoneticPr fontId="3"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AE820-F158-468B-B1CE-6BCBD510DC94}">
  <dimension ref="A1:K60"/>
  <sheetViews>
    <sheetView topLeftCell="A42" workbookViewId="0">
      <selection activeCell="I52" sqref="I52"/>
    </sheetView>
  </sheetViews>
  <sheetFormatPr defaultRowHeight="14.5" x14ac:dyDescent="0.35"/>
  <cols>
    <col min="1" max="1" width="9.54296875" bestFit="1" customWidth="1"/>
  </cols>
  <sheetData>
    <row r="1" spans="1:8" ht="15.5" x14ac:dyDescent="0.35">
      <c r="A1" s="18" t="s">
        <v>1154</v>
      </c>
    </row>
    <row r="2" spans="1:8" ht="15.5" x14ac:dyDescent="0.35">
      <c r="A2" s="19"/>
    </row>
    <row r="3" spans="1:8" ht="15.5" x14ac:dyDescent="0.35">
      <c r="A3" s="18" t="s">
        <v>1155</v>
      </c>
      <c r="C3" s="16" t="s">
        <v>1171</v>
      </c>
      <c r="D3" s="16" t="s">
        <v>1172</v>
      </c>
      <c r="G3" s="16" t="s">
        <v>1171</v>
      </c>
      <c r="H3" s="16" t="s">
        <v>1178</v>
      </c>
    </row>
    <row r="4" spans="1:8" ht="15.5" x14ac:dyDescent="0.35">
      <c r="A4" s="19"/>
      <c r="C4" s="16">
        <v>1</v>
      </c>
      <c r="D4" s="16" t="s">
        <v>1173</v>
      </c>
      <c r="G4" s="16">
        <v>3</v>
      </c>
      <c r="H4" s="16" t="str">
        <f>VLOOKUP(G4,$C$3:$D$8,2,0)</f>
        <v>zxc</v>
      </c>
    </row>
    <row r="5" spans="1:8" ht="15.5" x14ac:dyDescent="0.35">
      <c r="A5" s="19"/>
      <c r="C5" s="16">
        <v>2</v>
      </c>
      <c r="D5" s="16" t="s">
        <v>1174</v>
      </c>
      <c r="G5" s="16">
        <v>4</v>
      </c>
      <c r="H5" s="16" t="str">
        <f>VLOOKUP(G5,$C$3:$D$8,2,0)</f>
        <v>dfg</v>
      </c>
    </row>
    <row r="6" spans="1:8" ht="15.5" x14ac:dyDescent="0.35">
      <c r="A6" s="19"/>
      <c r="C6" s="16">
        <v>3</v>
      </c>
      <c r="D6" s="16" t="s">
        <v>1175</v>
      </c>
    </row>
    <row r="7" spans="1:8" ht="15.5" x14ac:dyDescent="0.35">
      <c r="A7" s="19"/>
      <c r="C7" s="16">
        <v>4</v>
      </c>
      <c r="D7" s="16" t="s">
        <v>1176</v>
      </c>
    </row>
    <row r="8" spans="1:8" ht="15.5" x14ac:dyDescent="0.35">
      <c r="A8" s="19"/>
      <c r="C8" s="16">
        <v>5</v>
      </c>
      <c r="D8" s="16" t="s">
        <v>1177</v>
      </c>
    </row>
    <row r="9" spans="1:8" ht="15.5" x14ac:dyDescent="0.35">
      <c r="A9" s="19"/>
    </row>
    <row r="10" spans="1:8" ht="15.5" x14ac:dyDescent="0.35">
      <c r="A10" s="19"/>
    </row>
    <row r="11" spans="1:8" ht="15.5" x14ac:dyDescent="0.35">
      <c r="A11" s="18" t="s">
        <v>1156</v>
      </c>
      <c r="C11" s="16" t="s">
        <v>1171</v>
      </c>
      <c r="D11" s="16" t="s">
        <v>1172</v>
      </c>
      <c r="G11" s="16" t="s">
        <v>1171</v>
      </c>
      <c r="H11" s="16" t="s">
        <v>1172</v>
      </c>
    </row>
    <row r="12" spans="1:8" ht="15.5" x14ac:dyDescent="0.35">
      <c r="A12" s="19"/>
      <c r="C12" s="16">
        <v>1</v>
      </c>
      <c r="D12" s="16" t="s">
        <v>1173</v>
      </c>
      <c r="G12" s="16">
        <v>3</v>
      </c>
      <c r="H12" s="16" t="str">
        <f>HLOOKUP(H11,$C$11:$D$16,MATCH(G12,$C$11:$C$16,0),0)</f>
        <v>zxc</v>
      </c>
    </row>
    <row r="13" spans="1:8" ht="15.5" x14ac:dyDescent="0.35">
      <c r="A13" s="19"/>
      <c r="C13" s="16">
        <v>2</v>
      </c>
      <c r="D13" s="16" t="s">
        <v>1174</v>
      </c>
      <c r="G13" s="16">
        <v>4</v>
      </c>
      <c r="H13" s="16" t="str">
        <f>HLOOKUP(H11,C11:D16,MATCH(G13,C11:C16,0),0)</f>
        <v>dfg</v>
      </c>
    </row>
    <row r="14" spans="1:8" ht="15.5" x14ac:dyDescent="0.35">
      <c r="A14" s="19"/>
      <c r="C14" s="16">
        <v>3</v>
      </c>
      <c r="D14" s="16" t="s">
        <v>1175</v>
      </c>
    </row>
    <row r="15" spans="1:8" ht="15.5" x14ac:dyDescent="0.35">
      <c r="A15" s="19"/>
      <c r="C15" s="16">
        <v>4</v>
      </c>
      <c r="D15" s="16" t="s">
        <v>1176</v>
      </c>
    </row>
    <row r="16" spans="1:8" ht="15.5" x14ac:dyDescent="0.35">
      <c r="A16" s="19"/>
      <c r="C16" s="16">
        <v>5</v>
      </c>
      <c r="D16" s="16" t="s">
        <v>1177</v>
      </c>
    </row>
    <row r="17" spans="1:8" ht="15.5" x14ac:dyDescent="0.35">
      <c r="A17" s="19"/>
    </row>
    <row r="18" spans="1:8" ht="15.5" x14ac:dyDescent="0.35">
      <c r="A18" s="19"/>
    </row>
    <row r="19" spans="1:8" ht="15.5" x14ac:dyDescent="0.35">
      <c r="A19" s="19"/>
    </row>
    <row r="20" spans="1:8" ht="15.5" x14ac:dyDescent="0.35">
      <c r="A20" s="18" t="s">
        <v>1157</v>
      </c>
      <c r="C20" s="16" t="s">
        <v>1171</v>
      </c>
      <c r="D20" s="16" t="s">
        <v>1172</v>
      </c>
      <c r="G20" s="16" t="s">
        <v>1171</v>
      </c>
      <c r="H20" s="16" t="s">
        <v>1172</v>
      </c>
    </row>
    <row r="21" spans="1:8" ht="15.5" x14ac:dyDescent="0.35">
      <c r="A21" s="19"/>
      <c r="C21" s="16">
        <v>1</v>
      </c>
      <c r="D21" s="16" t="s">
        <v>1173</v>
      </c>
      <c r="G21" s="16">
        <v>2</v>
      </c>
      <c r="H21" s="16" t="str">
        <f>INDEX(C20:D25,MATCH(G21,C20:C25,0),MATCH(H20,C20:D20,0))</f>
        <v>qwer</v>
      </c>
    </row>
    <row r="22" spans="1:8" ht="15.5" x14ac:dyDescent="0.35">
      <c r="A22" s="19"/>
      <c r="C22" s="16">
        <v>2</v>
      </c>
      <c r="D22" s="16" t="s">
        <v>1174</v>
      </c>
    </row>
    <row r="23" spans="1:8" ht="15.5" x14ac:dyDescent="0.35">
      <c r="A23" s="19"/>
      <c r="C23" s="16">
        <v>3</v>
      </c>
      <c r="D23" s="16" t="s">
        <v>1175</v>
      </c>
    </row>
    <row r="24" spans="1:8" ht="15.5" x14ac:dyDescent="0.35">
      <c r="A24" s="19"/>
      <c r="C24" s="16">
        <v>4</v>
      </c>
      <c r="D24" s="16" t="s">
        <v>1176</v>
      </c>
    </row>
    <row r="25" spans="1:8" ht="15.5" x14ac:dyDescent="0.35">
      <c r="A25" s="19"/>
      <c r="C25" s="16">
        <v>5</v>
      </c>
      <c r="D25" s="16" t="s">
        <v>1177</v>
      </c>
    </row>
    <row r="26" spans="1:8" ht="15.5" x14ac:dyDescent="0.35">
      <c r="A26" s="19"/>
    </row>
    <row r="27" spans="1:8" ht="15.5" x14ac:dyDescent="0.35">
      <c r="A27" s="19"/>
    </row>
    <row r="28" spans="1:8" ht="15.5" x14ac:dyDescent="0.35">
      <c r="A28" s="19"/>
    </row>
    <row r="29" spans="1:8" ht="15.5" x14ac:dyDescent="0.35">
      <c r="A29" s="18" t="s">
        <v>1158</v>
      </c>
      <c r="C29" s="16" t="s">
        <v>1171</v>
      </c>
      <c r="E29" s="16"/>
      <c r="F29" s="16" t="s">
        <v>1179</v>
      </c>
    </row>
    <row r="30" spans="1:8" ht="15.5" x14ac:dyDescent="0.35">
      <c r="A30" s="19"/>
      <c r="C30" s="16">
        <v>1</v>
      </c>
      <c r="E30" s="16">
        <v>4</v>
      </c>
      <c r="F30" s="16">
        <f>MATCH(E30,C29:C34,0)</f>
        <v>5</v>
      </c>
      <c r="H30" t="s">
        <v>1180</v>
      </c>
    </row>
    <row r="31" spans="1:8" ht="15.5" x14ac:dyDescent="0.35">
      <c r="A31" s="19"/>
      <c r="C31" s="16">
        <v>2</v>
      </c>
    </row>
    <row r="32" spans="1:8" ht="15.5" x14ac:dyDescent="0.35">
      <c r="A32" s="19"/>
      <c r="C32" s="16">
        <v>3</v>
      </c>
    </row>
    <row r="33" spans="1:11" ht="15.5" x14ac:dyDescent="0.35">
      <c r="A33" s="19"/>
      <c r="C33" s="16">
        <v>4</v>
      </c>
    </row>
    <row r="34" spans="1:11" ht="15.5" x14ac:dyDescent="0.35">
      <c r="A34" s="19"/>
      <c r="C34" s="16">
        <v>5</v>
      </c>
    </row>
    <row r="35" spans="1:11" ht="15.5" x14ac:dyDescent="0.35">
      <c r="A35" s="19"/>
      <c r="I35" s="16" t="s">
        <v>1189</v>
      </c>
      <c r="J35" s="16" t="s">
        <v>1190</v>
      </c>
      <c r="K35" s="16"/>
    </row>
    <row r="36" spans="1:11" ht="15.5" x14ac:dyDescent="0.35">
      <c r="A36" s="18" t="s">
        <v>1159</v>
      </c>
      <c r="E36" s="16">
        <v>100</v>
      </c>
      <c r="F36" s="16" t="s">
        <v>1185</v>
      </c>
      <c r="I36" s="16">
        <v>123</v>
      </c>
      <c r="J36" s="16" t="str">
        <f>IF(I36&gt;1000,"Winner",IF(I36&gt;500,"Great",IF(I36&gt;250,"Good",IF(I36&gt;100,"Pass","Neutral"))))</f>
        <v>Pass</v>
      </c>
      <c r="K36" s="16" t="str">
        <f>_xlfn.IFS(I36&gt;1000,"Winner",I36&gt;500,"Great",I36&gt;250,"Good",I36&gt;100,"Pass")</f>
        <v>Pass</v>
      </c>
    </row>
    <row r="37" spans="1:11" ht="15.5" x14ac:dyDescent="0.35">
      <c r="A37" s="19"/>
      <c r="E37" s="16">
        <v>250</v>
      </c>
      <c r="F37" s="16" t="s">
        <v>1186</v>
      </c>
      <c r="I37" s="16">
        <v>234</v>
      </c>
      <c r="J37" s="16" t="str">
        <f t="shared" ref="J37:J42" si="0">IF(I37&gt;1000,"Winner",IF(I37&gt;500,"Great",IF(I37&gt;250,"Good",IF(I37&gt;100,"Pass","Neutral"))))</f>
        <v>Pass</v>
      </c>
      <c r="K37" s="16" t="str">
        <f t="shared" ref="K37:K41" si="1">_xlfn.IFS(I37&gt;1000,"Winner",I37&gt;500,"Great",I37&gt;250,"Good",I37&gt;100,"Pass")</f>
        <v>Pass</v>
      </c>
    </row>
    <row r="38" spans="1:11" ht="15.5" x14ac:dyDescent="0.35">
      <c r="A38" s="19"/>
      <c r="E38" s="16">
        <v>500</v>
      </c>
      <c r="F38" s="16" t="s">
        <v>1187</v>
      </c>
      <c r="I38" s="16">
        <v>345</v>
      </c>
      <c r="J38" s="16" t="str">
        <f t="shared" si="0"/>
        <v>Good</v>
      </c>
      <c r="K38" s="16" t="str">
        <f t="shared" si="1"/>
        <v>Good</v>
      </c>
    </row>
    <row r="39" spans="1:11" ht="15.5" x14ac:dyDescent="0.35">
      <c r="A39" s="19"/>
      <c r="E39" s="16">
        <v>1000</v>
      </c>
      <c r="F39" s="16" t="s">
        <v>1188</v>
      </c>
      <c r="I39" s="16">
        <v>567</v>
      </c>
      <c r="J39" s="16" t="str">
        <f t="shared" si="0"/>
        <v>Great</v>
      </c>
      <c r="K39" s="16" t="str">
        <f t="shared" si="1"/>
        <v>Great</v>
      </c>
    </row>
    <row r="40" spans="1:11" ht="15.5" x14ac:dyDescent="0.35">
      <c r="A40" s="19"/>
      <c r="I40" s="16">
        <v>678</v>
      </c>
      <c r="J40" s="16" t="str">
        <f t="shared" si="0"/>
        <v>Great</v>
      </c>
      <c r="K40" s="16" t="str">
        <f t="shared" si="1"/>
        <v>Great</v>
      </c>
    </row>
    <row r="41" spans="1:11" ht="15.5" x14ac:dyDescent="0.35">
      <c r="A41" s="19"/>
      <c r="I41" s="16">
        <v>1087</v>
      </c>
      <c r="J41" s="16" t="str">
        <f t="shared" si="0"/>
        <v>Winner</v>
      </c>
      <c r="K41" s="16" t="str">
        <f t="shared" si="1"/>
        <v>Winner</v>
      </c>
    </row>
    <row r="42" spans="1:11" ht="15.5" x14ac:dyDescent="0.35">
      <c r="A42" s="19"/>
      <c r="I42" s="16">
        <v>0</v>
      </c>
      <c r="J42" s="16" t="str">
        <f t="shared" si="0"/>
        <v>Neutral</v>
      </c>
      <c r="K42" s="16" t="str">
        <f>_xlfn.IFS(I42&gt;1000,"Winner",I42&gt;500,"Great",I42&gt;250,"Good",I42&gt;100,"Pass",I42&lt;100,"Neutral")</f>
        <v>Neutral</v>
      </c>
    </row>
    <row r="43" spans="1:11" ht="15.5" x14ac:dyDescent="0.35">
      <c r="A43" s="19" t="s">
        <v>1160</v>
      </c>
    </row>
    <row r="44" spans="1:11" ht="15.5" x14ac:dyDescent="0.35">
      <c r="A44" s="19" t="s">
        <v>1161</v>
      </c>
    </row>
    <row r="45" spans="1:11" ht="15.5" x14ac:dyDescent="0.35">
      <c r="A45" s="19" t="s">
        <v>1162</v>
      </c>
      <c r="I45" t="s">
        <v>1185</v>
      </c>
      <c r="J45">
        <f>COUNTIF(J35:J42,I45)</f>
        <v>2</v>
      </c>
    </row>
    <row r="46" spans="1:11" ht="15.5" x14ac:dyDescent="0.35">
      <c r="A46" s="19" t="s">
        <v>1163</v>
      </c>
      <c r="I46" t="s">
        <v>1187</v>
      </c>
      <c r="J46">
        <f>COUNTIFS(J35:J42,I46)</f>
        <v>2</v>
      </c>
    </row>
    <row r="47" spans="1:11" ht="15.5" x14ac:dyDescent="0.35">
      <c r="A47" s="19" t="s">
        <v>1164</v>
      </c>
    </row>
    <row r="48" spans="1:11" ht="15.5" x14ac:dyDescent="0.35">
      <c r="A48" s="19" t="s">
        <v>1165</v>
      </c>
    </row>
    <row r="49" spans="1:9" ht="15.5" x14ac:dyDescent="0.35">
      <c r="A49" s="19"/>
      <c r="C49" s="16" t="s">
        <v>1191</v>
      </c>
      <c r="D49" s="16">
        <v>1234</v>
      </c>
      <c r="G49" s="16" t="s">
        <v>1191</v>
      </c>
      <c r="H49" s="16">
        <f>SUMIF($C$49:$C$53,G49,$D$49:$D$53)</f>
        <v>1468</v>
      </c>
    </row>
    <row r="50" spans="1:9" ht="15.5" x14ac:dyDescent="0.35">
      <c r="A50" s="19"/>
      <c r="C50" s="16" t="s">
        <v>1191</v>
      </c>
      <c r="D50" s="16">
        <v>234</v>
      </c>
      <c r="G50" s="16" t="s">
        <v>1192</v>
      </c>
      <c r="H50" s="16">
        <f>SUMIF($C$49:$C$53,G50,$D$49:$D$53)</f>
        <v>801</v>
      </c>
    </row>
    <row r="51" spans="1:9" ht="15.5" x14ac:dyDescent="0.35">
      <c r="A51" s="19"/>
      <c r="C51" s="16" t="s">
        <v>1192</v>
      </c>
      <c r="D51" s="16">
        <v>345</v>
      </c>
    </row>
    <row r="52" spans="1:9" ht="15.5" x14ac:dyDescent="0.35">
      <c r="A52" s="19"/>
      <c r="C52" s="16" t="s">
        <v>1192</v>
      </c>
      <c r="D52" s="16">
        <v>456</v>
      </c>
    </row>
    <row r="53" spans="1:9" ht="15.5" x14ac:dyDescent="0.35">
      <c r="A53" s="19"/>
      <c r="C53" s="16" t="s">
        <v>1193</v>
      </c>
      <c r="D53" s="16">
        <v>567</v>
      </c>
    </row>
    <row r="54" spans="1:9" ht="15.5" x14ac:dyDescent="0.35">
      <c r="A54" s="19"/>
    </row>
    <row r="55" spans="1:9" ht="15.5" x14ac:dyDescent="0.35">
      <c r="A55" s="19" t="s">
        <v>1140</v>
      </c>
    </row>
    <row r="56" spans="1:9" ht="15.5" x14ac:dyDescent="0.35">
      <c r="A56" s="19" t="s">
        <v>1166</v>
      </c>
    </row>
    <row r="57" spans="1:9" ht="15.5" x14ac:dyDescent="0.35">
      <c r="A57" s="19" t="s">
        <v>1167</v>
      </c>
      <c r="D57" t="s">
        <v>1182</v>
      </c>
      <c r="G57" t="str">
        <f>PROPER(D57)</f>
        <v xml:space="preserve"> String</v>
      </c>
    </row>
    <row r="58" spans="1:9" ht="15.5" x14ac:dyDescent="0.35">
      <c r="A58" s="19" t="s">
        <v>1168</v>
      </c>
      <c r="D58" t="s">
        <v>1181</v>
      </c>
      <c r="G58" t="str">
        <f>LEFT(D58,FIND(" ",D58)-1)</f>
        <v>Anjan</v>
      </c>
      <c r="H58">
        <f>FIND("K",D58)</f>
        <v>7</v>
      </c>
    </row>
    <row r="59" spans="1:9" ht="15.5" x14ac:dyDescent="0.35">
      <c r="A59" s="19" t="s">
        <v>1169</v>
      </c>
      <c r="D59" t="s">
        <v>1183</v>
      </c>
      <c r="G59" t="str">
        <f>RIGHT(D59,5)</f>
        <v>Pradi</v>
      </c>
    </row>
    <row r="60" spans="1:9" ht="15.5" x14ac:dyDescent="0.35">
      <c r="A60" s="19" t="s">
        <v>1170</v>
      </c>
      <c r="D60" t="s">
        <v>1184</v>
      </c>
      <c r="G60" t="str">
        <f>TRIM(D60)</f>
        <v>kumar</v>
      </c>
      <c r="I60" t="str">
        <f>PROPER(G60)</f>
        <v>Kumar</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A9E0C3F-4B58-44C4-B4AF-4E72EE32648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 table</vt:lpstr>
      <vt:lpstr>Transactions</vt:lpstr>
      <vt:lpstr>Dashboard</vt:lpstr>
      <vt:lpstr>Dashboard (2)</vt:lpstr>
      <vt:lpstr>Sheet3</vt:lpstr>
      <vt:lpstr>All essetial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2026-03-05T05:59:17Z</dcterms:created>
  <dcterms:modified xsi:type="dcterms:W3CDTF">2026-03-30T10:57:20Z</dcterms:modified>
</cp:coreProperties>
</file>